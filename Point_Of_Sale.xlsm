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5D7804D1-433D-4BD9-8B3E-F1B43B229A01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N25" i="1"/>
  <c r="N24" i="1"/>
  <c r="N12" i="1"/>
  <c r="N13" i="1"/>
  <c r="N14" i="1"/>
  <c r="N15" i="1"/>
  <c r="N16" i="1"/>
  <c r="N17" i="1"/>
  <c r="N18" i="1"/>
  <c r="N19" i="1"/>
  <c r="N20" i="1"/>
  <c r="N21" i="1"/>
  <c r="N22" i="1"/>
  <c r="N23" i="1"/>
  <c r="N11" i="1"/>
  <c r="N10" i="1"/>
  <c r="B5" i="1"/>
  <c r="D4" i="1" l="1"/>
  <c r="M6" i="1"/>
  <c r="B7" i="1"/>
  <c r="S3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<sst xmlns="http://schemas.openxmlformats.org/spreadsheetml/2006/main" count="922" uniqueCount="73">
  <si>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</si>
  <si>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</si>
  <si>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</si>
  <si>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</si>
  <si>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</si>
  <si>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</si>
  <si>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</si>
  <si>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</si>
  <si>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</si>
  <si>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</si>
  <si>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</si>
  <si>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</si>
  <si>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</si>
  <si>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</si>
  <si>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</si>
  <si>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</si>
  <si>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</si>
  <si>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</si>
  <si>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</si>
  <si>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</si>
  <si>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</si>
  <si>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</si>
  <si>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</si>
  <si>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</si>
  <si>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</si>
  <si>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</si>
  <si>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</si>
  <si>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</si>
  <si>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</si>
  <si>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</si>
  <si>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</si>
  <si>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</si>
  <si>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</si>
  <si>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</si>
  <si>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</si>
  <si>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</si>
  <si>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</si>
  <si>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</si>
  <si>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</si>
  <si>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</si>
  <si>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</si>
  <si>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</si>
  <si>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</si>
  <si>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</si>
  <si>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</si>
  <si>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</si>
  <si>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</si>
  <si>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</si>
  <si>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</si>
  <si>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</si>
  <si>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</si>
  <si>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</si>
  <si>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</si>
  <si>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</si>
  <si>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</si>
  <si>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</si>
  <si>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</si>
  <si>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</si>
  <si>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</si>
  <si>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</si>
  <si>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</si>
  <si>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</si>
  <si>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</si>
  <si>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</si>
  <si>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</si>
  <si>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</si>
  <si>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</si>
  <si>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</si>
  <si>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</si>
  <si>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</si>
  <si>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</si>
  <si>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Item:</t>
  </si>
  <si>
    <t>@ 12.12%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</si>
</sst>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2" fontId="0" fillId="10" borderId="3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1" xfId="0" applyFill="1" applyBorder="1" applyAlignment="1" applyProtection="1">
      <alignment horizontal="left"/>
    </xf>
    <xf numFmtId="7" fontId="0" fillId="0" borderId="0" xfId="1" applyNumberFormat="1" applyFont="1" applyFill="1" applyAlignment="1" applyProtection="1">
      <alignment horizontal="right"/>
    </xf>
    <xf numFmtId="2" fontId="0" fillId="6" borderId="0" xfId="0" applyNumberFormat="1" applyFill="1" applyProtection="1">
      <protection locked="0"/>
    </xf>
    <xf numFmtId="0" fontId="4" fillId="0" borderId="0" xfId="0" applyFont="1" applyFill="1" applyProtection="1">
      <protection locked="0"/>
    </xf>
    <xf numFmtId="7" fontId="4" fillId="0" borderId="0" xfId="0" applyNumberFormat="1" applyFont="1" applyFill="1" applyProtection="1">
      <protection locked="0"/>
    </xf>
    <xf numFmtId="0" fontId="4" fillId="0" borderId="0" xfId="0" applyFont="1"/>
    <xf numFmtId="7" fontId="4" fillId="0" borderId="0" xfId="0" applyNumberFormat="1" applyFont="1"/>
    <xf numFmtId="0" fontId="0" fillId="0" borderId="0" xfId="0" applyFont="1" applyFill="1" applyProtection="1">
      <protection locked="0"/>
    </xf>
    <xf numFmtId="7" fontId="0" fillId="0" borderId="0" xfId="0" applyNumberFormat="1" applyFont="1" applyFill="1" applyProtection="1">
      <protection locked="0"/>
    </xf>
    <xf numFmtId="44" fontId="0" fillId="6" borderId="3" xfId="1" applyNumberFormat="1" applyFon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0" fontId="0" fillId="0" borderId="0" xfId="0" applyFont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32</xdr:row>
      <xdr:rowOff>0</xdr:rowOff>
    </xdr:from>
    <xdr:to>
      <xdr:col>13</xdr:col>
      <xdr:colOff>941778</xdr:colOff>
      <xdr:row>36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6291291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1071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3</xdr:col>
      <xdr:colOff>258</xdr:colOff>
      <xdr:row>10</xdr:row>
      <xdr:rowOff>142875</xdr:rowOff>
    </xdr:from>
    <xdr:to>
      <xdr:col>8</xdr:col>
      <xdr:colOff>941777</xdr:colOff>
      <xdr:row>23</xdr:row>
      <xdr:rowOff>69767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1FEB641C-C6D7-4139-87B8-8D6515EBE1D9}"/>
            </a:ext>
          </a:extLst>
        </xdr:cNvPr>
        <xdr:cNvGrpSpPr/>
      </xdr:nvGrpSpPr>
      <xdr:grpSpPr>
        <a:xfrm>
          <a:off x="1927616" y="2338530"/>
          <a:ext cx="4341773" cy="2347041"/>
          <a:chOff x="1927616" y="2338530"/>
          <a:chExt cx="4341773" cy="2347041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1927616" y="2338530"/>
            <a:ext cx="2140638" cy="2330614"/>
            <a:chOff x="1571625" y="2390775"/>
            <a:chExt cx="1992630" cy="2386965"/>
          </a:xfrm>
        </xdr:grpSpPr>
        <xdr:sp macro="[0]!EnterNumberBtn" textlink="">
          <xdr:nvSpPr>
            <xdr:cNvPr id="9" name="Butn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157162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1</a:t>
              </a:r>
            </a:p>
          </xdr:txBody>
        </xdr:sp>
        <xdr:sp macro="[0]!EnterNumberBtn" textlink="">
          <xdr:nvSpPr>
            <xdr:cNvPr id="10" name="Butn2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247900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2</a:t>
              </a:r>
            </a:p>
          </xdr:txBody>
        </xdr:sp>
        <xdr:sp macro="[0]!EnterNumberBtn" textlink="">
          <xdr:nvSpPr>
            <xdr:cNvPr id="11" name="Butn3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292417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3</a:t>
              </a:r>
            </a:p>
          </xdr:txBody>
        </xdr:sp>
        <xdr:sp macro="[0]!EnterNumberBtn" textlink="">
          <xdr:nvSpPr>
            <xdr:cNvPr id="12" name="Butn4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57162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4</a:t>
              </a:r>
            </a:p>
          </xdr:txBody>
        </xdr:sp>
        <xdr:sp macro="[0]!EnterNumberBtn" textlink="">
          <xdr:nvSpPr>
            <xdr:cNvPr id="13" name="Butn5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2247900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5</a:t>
              </a:r>
            </a:p>
          </xdr:txBody>
        </xdr:sp>
        <xdr:sp macro="[0]!EnterNumberBtn" textlink="">
          <xdr:nvSpPr>
            <xdr:cNvPr id="14" name="Butn6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292417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6</a:t>
              </a:r>
            </a:p>
          </xdr:txBody>
        </xdr:sp>
        <xdr:sp macro="[0]!EnterNumberBtn" textlink="">
          <xdr:nvSpPr>
            <xdr:cNvPr id="15" name="Butn7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57162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7</a:t>
              </a:r>
            </a:p>
          </xdr:txBody>
        </xdr:sp>
        <xdr:sp macro="[0]!EnterNumberBtn" textlink="">
          <xdr:nvSpPr>
            <xdr:cNvPr id="16" name="Butn8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2247900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8</a:t>
              </a:r>
            </a:p>
          </xdr:txBody>
        </xdr:sp>
        <xdr:sp macro="[0]!EnterNumberBtn" textlink="">
          <xdr:nvSpPr>
            <xdr:cNvPr id="17" name="Butn9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292417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9</a:t>
              </a:r>
            </a:p>
          </xdr:txBody>
        </xdr:sp>
        <xdr:sp macro="[0]!EnterNumberBtn" textlink="">
          <xdr:nvSpPr>
            <xdr:cNvPr id="18" name="Butn0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57162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0</a:t>
              </a:r>
            </a:p>
          </xdr:txBody>
        </xdr:sp>
        <xdr:sp macro="[0]!ClearItemBtn" textlink="">
          <xdr:nvSpPr>
            <xdr:cNvPr id="19" name="ClearBtn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2247900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i="0" u="sng"/>
                <a:t>CLEAR</a:t>
              </a:r>
            </a:p>
          </xdr:txBody>
        </xdr:sp>
        <xdr:sp macro="[0]!EnterDecimalBtn" textlink="">
          <xdr:nvSpPr>
            <xdr:cNvPr id="20" name="DecimBtn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292417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.</a:t>
              </a:r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4423079" y="2338530"/>
            <a:ext cx="504656" cy="535636"/>
            <a:chOff x="3895725" y="2390775"/>
            <a:chExt cx="457200" cy="548640"/>
          </a:xfrm>
        </xdr:grpSpPr>
        <xdr:sp macro="[0]!EnterPayType" textlink="">
          <xdr:nvSpPr>
            <xdr:cNvPr id="21" name="Cash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389572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2" name="Cash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005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4970596" y="2338530"/>
            <a:ext cx="504654" cy="535636"/>
            <a:chOff x="4395787" y="2390775"/>
            <a:chExt cx="457200" cy="548640"/>
          </a:xfrm>
        </xdr:grpSpPr>
        <xdr:sp macro="[0]!EnterPayType" textlink="">
          <xdr:nvSpPr>
            <xdr:cNvPr id="22" name="Card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4395787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3" name="Card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34136" y="2568150"/>
              <a:ext cx="364273" cy="274320"/>
            </a:xfrm>
            <a:prstGeom prst="rect">
              <a:avLst/>
            </a:prstGeom>
          </xdr:spPr>
        </xdr:pic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5518112" y="2338530"/>
            <a:ext cx="504653" cy="535636"/>
            <a:chOff x="4905375" y="2390775"/>
            <a:chExt cx="457200" cy="548640"/>
          </a:xfrm>
        </xdr:grpSpPr>
        <xdr:sp macro="[0]!EnterPayType" textlink="">
          <xdr:nvSpPr>
            <xdr:cNvPr id="23" name="Check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490537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4" name="Check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863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2" name="PaymentBtn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4423079" y="2934841"/>
            <a:ext cx="1609213" cy="535636"/>
            <a:chOff x="3933825" y="3060700"/>
            <a:chExt cx="1466850" cy="548640"/>
          </a:xfrm>
        </xdr:grpSpPr>
        <xdr:sp macro="[0]!EnterPayemntCell" textlink="">
          <xdr:nvSpPr>
            <xdr:cNvPr id="24" name="Butn6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/>
          </xdr:nvSpPr>
          <xdr:spPr>
            <a:xfrm>
              <a:off x="3933825" y="30607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800"/>
                <a:t>PAYMENT</a:t>
              </a:r>
              <a:endParaRPr lang="en-US" sz="1600"/>
            </a:p>
          </xdr:txBody>
        </xdr:sp>
        <xdr:pic macro="[0]!EnterPayemntCell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81375" y="319786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1" name="NextBtn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423079" y="4149935"/>
            <a:ext cx="1609213" cy="535636"/>
            <a:chOff x="3933825" y="4229100"/>
            <a:chExt cx="1466850" cy="548640"/>
          </a:xfrm>
        </xdr:grpSpPr>
        <xdr:sp macro="[0]!SaveAndClear" textlink="">
          <xdr:nvSpPr>
            <xdr:cNvPr id="26" name="Butn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3933825" y="42291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/>
                <a:t>    NEXT</a:t>
              </a:r>
            </a:p>
          </xdr:txBody>
        </xdr:sp>
        <xdr:pic macro="[0]!SaveAndClear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69500" y="4364775"/>
              <a:ext cx="274320" cy="274320"/>
            </a:xfrm>
            <a:prstGeom prst="rect">
              <a:avLst/>
            </a:prstGeom>
          </xdr:spPr>
        </xdr:pic>
      </xdr:grpSp>
      <xdr:sp macro="[0]!Update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423079" y="3554524"/>
            <a:ext cx="1144369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Prev</a:t>
            </a:r>
          </a:p>
        </xdr:txBody>
      </xdr:sp>
      <xdr:grpSp>
        <xdr:nvGrpSpPr>
          <xdr:cNvPr id="222" name="Group 221">
            <a:extLst>
              <a:ext uri="{FF2B5EF4-FFF2-40B4-BE49-F238E27FC236}">
                <a16:creationId xmlns:a16="http://schemas.microsoft.com/office/drawing/2014/main" id="{C336DF70-437A-40A6-AA5E-CED6B6C0C974}"/>
              </a:ext>
            </a:extLst>
          </xdr:cNvPr>
          <xdr:cNvGrpSpPr/>
        </xdr:nvGrpSpPr>
        <xdr:grpSpPr>
          <a:xfrm>
            <a:off x="5633324" y="3560658"/>
            <a:ext cx="636065" cy="529502"/>
            <a:chOff x="4450628" y="4808604"/>
            <a:chExt cx="515604" cy="535636"/>
          </a:xfrm>
        </xdr:grpSpPr>
        <xdr:sp macro="[0]!PrintReceipt" textlink="">
          <xdr:nvSpPr>
            <xdr:cNvPr id="220" name="Butn6">
              <a:extLst>
                <a:ext uri="{FF2B5EF4-FFF2-40B4-BE49-F238E27FC236}">
                  <a16:creationId xmlns:a16="http://schemas.microsoft.com/office/drawing/2014/main" id="{3C4FEFCF-23B1-46DA-B708-D57A7DF30151}"/>
                </a:ext>
              </a:extLst>
            </xdr:cNvPr>
            <xdr:cNvSpPr/>
          </xdr:nvSpPr>
          <xdr:spPr>
            <a:xfrm>
              <a:off x="4450628" y="4808604"/>
              <a:ext cx="515604" cy="535636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2800"/>
            </a:p>
          </xdr:txBody>
        </xdr:sp>
        <xdr:pic macro="[0]!PrintReceipt">
          <xdr:nvPicPr>
            <xdr:cNvPr id="221" name="Picture 220">
              <a:extLst>
                <a:ext uri="{FF2B5EF4-FFF2-40B4-BE49-F238E27FC236}">
                  <a16:creationId xmlns:a16="http://schemas.microsoft.com/office/drawing/2014/main" id="{DF75427C-6444-46EB-A680-AD1D21248A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578135" y="4942513"/>
              <a:ext cx="294053" cy="26781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29</xdr:row>
      <xdr:rowOff>26465</xdr:rowOff>
    </xdr:from>
    <xdr:to>
      <xdr:col>14</xdr:col>
      <xdr:colOff>3810000</xdr:colOff>
      <xdr:row>32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1755" name="ItemPic">
          <a:extLst>
            <a:ext uri="{FF2B5EF4-FFF2-40B4-BE49-F238E27FC236}">
              <a16:creationId xmlns:a16="http://schemas.microsoft.com/office/drawing/2014/main" id="{3AA5E238-D626-4325-BDA9-9E689ED06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J6" sqref="J6"/>
    </sheetView>
  </sheetViews>
  <sheetFormatPr defaultRowHeight="14.7" x14ac:dyDescent="0.4"/>
  <cols>
    <col min="1" max="1" width="11" style="13" bestFit="1" customWidth="1"/>
    <col min="2" max="2" width="9.23046875" style="13"/>
    <col min="3" max="3" width="6.84375" style="13" customWidth="1"/>
    <col min="4" max="4" width="10.84375" style="13" bestFit="1" customWidth="1"/>
    <col min="5" max="8" width="9.23046875" style="13"/>
    <col min="9" max="9" width="16.61328125" style="13" customWidth="1"/>
    <col min="10" max="10" width="9.23046875" style="13"/>
    <col min="11" max="11" width="10.69140625" style="52" customWidth="1"/>
    <col min="12" max="12" width="8.07421875" style="52" customWidth="1"/>
    <col min="13" max="13" width="9.23046875" style="52"/>
    <col min="14" max="14" width="14.921875" style="52" customWidth="1"/>
    <col min="15" max="15" width="56.3046875" style="13" customWidth="1"/>
    <col min="16" max="18" width="9.23046875" style="13"/>
    <col min="19" max="19" width="15.15234375" style="13" customWidth="1"/>
    <col min="20" max="22" width="9.23046875" style="13"/>
    <col min="23" max="23" width="16.07421875" style="13" customWidth="1"/>
    <col min="24" max="16384" width="9.23046875" style="13"/>
  </cols>
  <sheetData>
    <row r="1" spans="1:22" ht="41" x14ac:dyDescent="1.05">
      <c r="A1" s="11"/>
      <c r="B1" s="11"/>
      <c r="C1" s="27" t="s">
        <v>26</v>
      </c>
      <c r="D1" s="27"/>
      <c r="E1" s="27"/>
      <c r="F1" s="27"/>
      <c r="G1" s="27"/>
      <c r="H1" s="27"/>
      <c r="I1" s="27"/>
      <c r="J1" s="27"/>
      <c r="K1" s="33" t="s">
        <v>36</v>
      </c>
      <c r="L1" s="33"/>
      <c r="M1" s="33"/>
      <c r="N1" s="33"/>
      <c r="O1" s="25" t="s">
        <v>70</v>
      </c>
      <c r="P1" s="12"/>
      <c r="Q1" s="12"/>
      <c r="R1" s="12"/>
      <c r="S1" s="12"/>
      <c r="T1" s="12"/>
      <c r="U1" s="12"/>
      <c r="V1" s="12"/>
    </row>
    <row r="2" spans="1:22" ht="14.7" customHeight="1" x14ac:dyDescent="0.4">
      <c r="A2" s="11"/>
      <c r="B2" s="11"/>
      <c r="C2" s="14"/>
      <c r="D2" s="14"/>
      <c r="E2" s="14"/>
      <c r="F2" s="14"/>
      <c r="G2" s="14"/>
      <c r="H2" s="14"/>
      <c r="I2" s="14"/>
      <c r="J2" s="14"/>
      <c r="K2" s="47" t="s">
        <v>37</v>
      </c>
      <c r="L2" s="47"/>
      <c r="M2" s="47"/>
      <c r="N2" s="47"/>
      <c r="O2" s="14"/>
    </row>
    <row r="3" spans="1:22" ht="14.7" customHeight="1" x14ac:dyDescent="0.4">
      <c r="A3" s="11"/>
      <c r="B3" s="11"/>
      <c r="C3" s="15"/>
      <c r="D3" s="26" t="s">
        <v>68</v>
      </c>
      <c r="E3" s="28" t="s">
        <v>14</v>
      </c>
      <c r="F3" s="29"/>
      <c r="G3" s="15"/>
      <c r="H3" s="16" t="s">
        <v>27</v>
      </c>
      <c r="I3" s="45">
        <v>40.380000000000003</v>
      </c>
      <c r="J3" s="15"/>
      <c r="K3" s="47" t="s">
        <v>38</v>
      </c>
      <c r="L3" s="47"/>
      <c r="M3" s="47"/>
      <c r="N3" s="47"/>
      <c r="O3" s="15"/>
      <c r="R3" s="17" t="s">
        <v>27</v>
      </c>
      <c r="S3" s="18">
        <f>I3</f>
        <v>40.380000000000003</v>
      </c>
    </row>
    <row r="4" spans="1:22" ht="14.7" customHeight="1" x14ac:dyDescent="0.4">
      <c r="A4" s="19" t="s">
        <v>48</v>
      </c>
      <c r="B4" s="20" t="b">
        <v>0</v>
      </c>
      <c r="C4" s="15"/>
      <c r="D4" s="30" t="str">
        <f ca="1">IFERROR(INDEX(Item_Desc,MATCH(E3,Item_Name,0),1),"")</f>
        <v>Navals from Santa Paula, CA</v>
      </c>
      <c r="E4" s="28"/>
      <c r="F4" s="29"/>
      <c r="G4" s="15"/>
      <c r="H4" s="16" t="s">
        <v>28</v>
      </c>
      <c r="I4" s="21">
        <f>ROUND(I3 * 0.1212, 2)</f>
        <v>4.8899999999999997</v>
      </c>
      <c r="J4" s="22" t="s">
        <v>72</v>
      </c>
      <c r="K4" s="47" t="s">
        <v>39</v>
      </c>
      <c r="L4" s="47"/>
      <c r="M4" s="47"/>
      <c r="N4" s="47"/>
      <c r="O4" s="15"/>
      <c r="R4" s="17" t="s">
        <v>28</v>
      </c>
      <c r="S4" s="18">
        <f>I4</f>
        <v>4.8899999999999997</v>
      </c>
    </row>
    <row r="5" spans="1:22" ht="14.7" customHeight="1" x14ac:dyDescent="0.4">
      <c r="A5" s="19" t="s">
        <v>49</v>
      </c>
      <c r="B5" s="20" t="str">
        <f ca="1">IFERROR(MATCH(E10,Item_ID,0)+2,"")</f>
        <v/>
      </c>
      <c r="C5" s="15"/>
      <c r="D5" s="15"/>
      <c r="E5" s="15"/>
      <c r="F5" s="15"/>
      <c r="G5" s="15"/>
      <c r="H5" s="16" t="s">
        <v>30</v>
      </c>
      <c r="I5" s="45">
        <f>SUM(I3:I4)</f>
        <v>45.27</v>
      </c>
      <c r="J5" s="15"/>
      <c r="K5" s="48"/>
      <c r="L5" s="49" t="s">
        <v>40</v>
      </c>
      <c r="M5" s="50">
        <v>1071</v>
      </c>
      <c r="N5" s="50"/>
      <c r="O5" s="15"/>
      <c r="R5" s="17" t="s">
        <v>30</v>
      </c>
      <c r="S5" s="18">
        <f>I5</f>
        <v>45.27</v>
      </c>
    </row>
    <row r="6" spans="1:22" ht="14.7" customHeight="1" x14ac:dyDescent="0.4">
      <c r="A6" s="19" t="s">
        <v>50</v>
      </c>
      <c r="B6" s="36">
        <v>13</v>
      </c>
      <c r="C6" s="15"/>
      <c r="D6" s="15"/>
      <c r="E6" s="16" t="s">
        <v>34</v>
      </c>
      <c r="F6" s="7">
        <v>3.49</v>
      </c>
      <c r="G6" s="15"/>
      <c r="H6" s="16" t="s">
        <v>31</v>
      </c>
      <c r="I6" s="23" t="s">
        <v>69</v>
      </c>
      <c r="J6" s="15"/>
      <c r="K6" s="48"/>
      <c r="L6" s="49" t="s">
        <v>41</v>
      </c>
      <c r="M6" s="51">
        <f ca="1">NOW()</f>
        <v>45449.985732754627</v>
      </c>
      <c r="N6" s="50"/>
      <c r="O6" s="15"/>
      <c r="R6" s="17" t="s">
        <v>47</v>
      </c>
      <c r="S6" s="37">
        <v>15</v>
      </c>
    </row>
    <row r="7" spans="1:22" ht="14.7" customHeight="1" x14ac:dyDescent="0.4">
      <c r="A7" s="19" t="s">
        <v>51</v>
      </c>
      <c r="B7" s="20">
        <f ca="1">IFERROR(MAX(RecNumb)+1,1000)</f>
        <v>1071</v>
      </c>
      <c r="C7" s="15"/>
      <c r="D7" s="15"/>
      <c r="E7" s="15"/>
      <c r="F7" s="15"/>
      <c r="G7" s="15"/>
      <c r="H7" s="16" t="s">
        <v>32</v>
      </c>
      <c r="I7" s="9">
        <v>15</v>
      </c>
      <c r="J7" s="15"/>
      <c r="K7" s="48"/>
      <c r="L7" s="49" t="s">
        <v>44</v>
      </c>
      <c r="M7" s="50" t="s">
        <v>43</v>
      </c>
      <c r="N7" s="50"/>
      <c r="O7" s="15"/>
      <c r="R7" s="17" t="s">
        <v>33</v>
      </c>
      <c r="S7" s="18">
        <f>-I8</f>
        <v>30.270000000000003</v>
      </c>
    </row>
    <row r="8" spans="1:22" ht="14.7" customHeight="1" x14ac:dyDescent="0.4">
      <c r="A8" s="11"/>
      <c r="B8" s="11"/>
      <c r="C8" s="15"/>
      <c r="D8" s="15"/>
      <c r="E8" s="16" t="s">
        <v>35</v>
      </c>
      <c r="F8" s="8">
        <v>1</v>
      </c>
      <c r="G8" s="15"/>
      <c r="H8" s="16" t="s">
        <v>33</v>
      </c>
      <c r="I8" s="10">
        <f>I7-I5</f>
        <v>-30.270000000000003</v>
      </c>
      <c r="J8" s="15"/>
      <c r="K8" s="43"/>
      <c r="L8" s="43"/>
      <c r="M8" s="43"/>
      <c r="N8" s="43"/>
      <c r="O8" s="15"/>
    </row>
    <row r="9" spans="1:22" x14ac:dyDescent="0.4">
      <c r="A9" s="11"/>
      <c r="B9" s="11"/>
      <c r="C9" s="15"/>
      <c r="D9" s="15"/>
      <c r="E9" s="15"/>
      <c r="F9" s="15"/>
      <c r="G9" s="15"/>
      <c r="H9" s="15"/>
      <c r="I9" s="38">
        <v>10.96</v>
      </c>
      <c r="J9" s="15"/>
      <c r="K9" s="46" t="s">
        <v>45</v>
      </c>
      <c r="L9" s="46" t="s">
        <v>46</v>
      </c>
      <c r="M9" s="46" t="s">
        <v>4</v>
      </c>
      <c r="N9" s="46" t="s">
        <v>29</v>
      </c>
      <c r="O9" s="15"/>
      <c r="R9" s="17"/>
    </row>
    <row r="10" spans="1:22" x14ac:dyDescent="0.4">
      <c r="A10" s="11"/>
      <c r="B10" s="11"/>
      <c r="C10" s="15"/>
      <c r="D10" s="24" t="s">
        <v>71</v>
      </c>
      <c r="E10" s="31">
        <v>1</v>
      </c>
      <c r="F10" s="32"/>
      <c r="G10" s="15"/>
      <c r="H10" s="15"/>
      <c r="I10" s="15"/>
      <c r="J10" s="15"/>
      <c r="K10" s="39" t="s">
        <v>6</v>
      </c>
      <c r="L10" s="39">
        <v>1</v>
      </c>
      <c r="M10" s="40">
        <v>2.99</v>
      </c>
      <c r="N10" s="39">
        <f>ROUND(L10*M10, 2)</f>
        <v>2.99</v>
      </c>
      <c r="O10" s="15"/>
      <c r="R10" s="17"/>
    </row>
    <row r="11" spans="1:22" x14ac:dyDescent="0.4">
      <c r="A11" s="11"/>
      <c r="B11" s="11"/>
      <c r="C11" s="15"/>
      <c r="D11" s="15"/>
      <c r="E11" s="15"/>
      <c r="F11" s="15"/>
      <c r="G11" s="15"/>
      <c r="H11" s="15"/>
      <c r="I11" s="15"/>
      <c r="J11" s="15"/>
      <c r="K11" s="43" t="s">
        <v>14</v>
      </c>
      <c r="L11" s="43">
        <v>1</v>
      </c>
      <c r="M11" s="44">
        <v>3.49</v>
      </c>
      <c r="N11" s="43">
        <f>ROUND(L11*M11, 2)</f>
        <v>3.49</v>
      </c>
      <c r="O11" s="15"/>
      <c r="R11" s="17"/>
    </row>
    <row r="12" spans="1:22" x14ac:dyDescent="0.4">
      <c r="A12" s="11"/>
      <c r="B12" s="11"/>
      <c r="C12" s="15"/>
      <c r="D12" s="15"/>
      <c r="E12" s="15"/>
      <c r="F12" s="15"/>
      <c r="G12" s="15"/>
      <c r="H12" s="15"/>
      <c r="I12" s="15"/>
      <c r="J12" s="15"/>
      <c r="K12" s="39" t="s">
        <v>14</v>
      </c>
      <c r="L12" s="39">
        <v>1</v>
      </c>
      <c r="M12" s="40">
        <v>3.49</v>
      </c>
      <c r="N12" s="39">
        <f t="shared" ref="N12:N24" si="0">ROUND(L12*M12, 2)</f>
        <v>3.49</v>
      </c>
      <c r="O12" s="15"/>
      <c r="R12" s="17"/>
    </row>
    <row r="13" spans="1:22" x14ac:dyDescent="0.4">
      <c r="A13" s="11"/>
      <c r="B13" s="11"/>
      <c r="C13" s="15"/>
      <c r="D13" s="15"/>
      <c r="E13" s="15"/>
      <c r="F13" s="15"/>
      <c r="G13" s="15"/>
      <c r="H13" s="15"/>
      <c r="I13" s="15"/>
      <c r="J13" s="15"/>
      <c r="K13" s="43" t="s">
        <v>14</v>
      </c>
      <c r="L13" s="43">
        <v>1</v>
      </c>
      <c r="M13" s="44">
        <v>3.49</v>
      </c>
      <c r="N13" s="43">
        <f t="shared" si="0"/>
        <v>3.49</v>
      </c>
      <c r="O13" s="15"/>
      <c r="R13" s="17"/>
    </row>
    <row r="14" spans="1:22" x14ac:dyDescent="0.4">
      <c r="A14" s="11"/>
      <c r="B14" s="11"/>
      <c r="C14" s="15"/>
      <c r="D14" s="15"/>
      <c r="E14" s="15"/>
      <c r="F14" s="15"/>
      <c r="G14" s="15"/>
      <c r="H14" s="15"/>
      <c r="I14" s="15"/>
      <c r="J14" s="15"/>
      <c r="K14" s="43" t="s">
        <v>14</v>
      </c>
      <c r="L14" s="43">
        <v>1</v>
      </c>
      <c r="M14" s="44">
        <v>3.49</v>
      </c>
      <c r="N14" s="43">
        <f t="shared" si="0"/>
        <v>3.49</v>
      </c>
      <c r="O14" s="15"/>
    </row>
    <row r="15" spans="1:22" x14ac:dyDescent="0.4">
      <c r="A15" s="11"/>
      <c r="B15" s="11"/>
      <c r="C15" s="15"/>
      <c r="D15" s="15"/>
      <c r="E15" s="15"/>
      <c r="F15" s="15"/>
      <c r="G15" s="15"/>
      <c r="H15" s="15"/>
      <c r="I15" s="15"/>
      <c r="J15" s="15"/>
      <c r="K15" s="43" t="s">
        <v>14</v>
      </c>
      <c r="L15" s="43">
        <v>1</v>
      </c>
      <c r="M15" s="44">
        <v>3.49</v>
      </c>
      <c r="N15" s="43">
        <f t="shared" si="0"/>
        <v>3.49</v>
      </c>
      <c r="O15" s="15"/>
    </row>
    <row r="16" spans="1:22" x14ac:dyDescent="0.4">
      <c r="A16" s="11"/>
      <c r="B16" s="11"/>
      <c r="C16" s="15"/>
      <c r="D16" s="15"/>
      <c r="E16" s="15"/>
      <c r="F16" s="15"/>
      <c r="G16" s="15"/>
      <c r="H16" s="15"/>
      <c r="I16" s="15"/>
      <c r="J16" s="15"/>
      <c r="K16" s="39" t="s">
        <v>14</v>
      </c>
      <c r="L16" s="39">
        <v>1</v>
      </c>
      <c r="M16" s="40">
        <v>3.49</v>
      </c>
      <c r="N16" s="39">
        <f t="shared" si="0"/>
        <v>3.49</v>
      </c>
      <c r="O16" s="15"/>
    </row>
    <row r="17" spans="1:15" x14ac:dyDescent="0.4">
      <c r="A17" s="11"/>
      <c r="B17" s="11"/>
      <c r="C17" s="15"/>
      <c r="D17" s="15"/>
      <c r="E17" s="15"/>
      <c r="F17" s="15"/>
      <c r="G17" s="15"/>
      <c r="H17" s="15"/>
      <c r="I17" s="15"/>
      <c r="J17" s="15"/>
      <c r="K17" s="43" t="s">
        <v>14</v>
      </c>
      <c r="L17" s="43">
        <v>1</v>
      </c>
      <c r="M17" s="44">
        <v>3.49</v>
      </c>
      <c r="N17" s="43">
        <f t="shared" si="0"/>
        <v>3.49</v>
      </c>
      <c r="O17" s="15"/>
    </row>
    <row r="18" spans="1:15" x14ac:dyDescent="0.4">
      <c r="A18" s="11"/>
      <c r="B18" s="11"/>
      <c r="C18" s="15"/>
      <c r="D18" s="15"/>
      <c r="E18" s="15"/>
      <c r="F18" s="15"/>
      <c r="G18" s="15"/>
      <c r="H18" s="15"/>
      <c r="I18" s="15"/>
      <c r="J18" s="15"/>
      <c r="K18" s="43" t="s">
        <v>14</v>
      </c>
      <c r="L18" s="43">
        <v>1</v>
      </c>
      <c r="M18" s="44">
        <v>3.49</v>
      </c>
      <c r="N18" s="43">
        <f t="shared" si="0"/>
        <v>3.49</v>
      </c>
      <c r="O18" s="15"/>
    </row>
    <row r="19" spans="1:15" x14ac:dyDescent="0.4">
      <c r="A19" s="11"/>
      <c r="B19" s="11"/>
      <c r="C19" s="15"/>
      <c r="D19" s="15"/>
      <c r="E19" s="15"/>
      <c r="F19" s="15"/>
      <c r="G19" s="15"/>
      <c r="H19" s="15"/>
      <c r="I19" s="15"/>
      <c r="J19" s="15"/>
      <c r="K19" s="43" t="s">
        <v>14</v>
      </c>
      <c r="L19" s="43">
        <v>1</v>
      </c>
      <c r="M19" s="44">
        <v>3.49</v>
      </c>
      <c r="N19" s="43">
        <f t="shared" si="0"/>
        <v>3.49</v>
      </c>
      <c r="O19" s="15"/>
    </row>
    <row r="20" spans="1:15" x14ac:dyDescent="0.4">
      <c r="A20" s="11"/>
      <c r="B20" s="11"/>
      <c r="C20" s="15"/>
      <c r="D20" s="15"/>
      <c r="E20" s="15"/>
      <c r="F20" s="15"/>
      <c r="G20" s="15"/>
      <c r="H20" s="15"/>
      <c r="I20" s="15"/>
      <c r="J20" s="15"/>
      <c r="K20" s="43" t="s">
        <v>14</v>
      </c>
      <c r="L20" s="43">
        <v>1</v>
      </c>
      <c r="M20" s="44">
        <v>3.49</v>
      </c>
      <c r="N20" s="43">
        <f t="shared" si="0"/>
        <v>3.49</v>
      </c>
      <c r="O20" s="15"/>
    </row>
    <row r="21" spans="1:15" x14ac:dyDescent="0.4">
      <c r="A21" s="11"/>
      <c r="B21" s="11"/>
      <c r="C21" s="15"/>
      <c r="D21" s="15"/>
      <c r="E21" s="15"/>
      <c r="F21" s="15"/>
      <c r="G21" s="15"/>
      <c r="H21" s="15"/>
      <c r="I21" s="15"/>
      <c r="J21" s="15"/>
      <c r="K21" s="43" t="s">
        <v>14</v>
      </c>
      <c r="L21" s="43">
        <v>1</v>
      </c>
      <c r="M21" s="44">
        <v>3.49</v>
      </c>
      <c r="N21" s="43">
        <f t="shared" si="0"/>
        <v>3.49</v>
      </c>
      <c r="O21" s="15"/>
    </row>
    <row r="22" spans="1:15" x14ac:dyDescent="0.4">
      <c r="A22" s="11"/>
      <c r="B22" s="11"/>
      <c r="C22" s="15"/>
      <c r="D22" s="15"/>
      <c r="E22" s="15"/>
      <c r="F22" s="15"/>
      <c r="G22" s="15"/>
      <c r="H22" s="15"/>
      <c r="I22" s="15"/>
      <c r="J22" s="15"/>
      <c r="K22" s="43" t="s">
        <v>14</v>
      </c>
      <c r="L22" s="43">
        <v>1</v>
      </c>
      <c r="M22" s="44">
        <v>3.49</v>
      </c>
      <c r="N22" s="43">
        <f t="shared" si="0"/>
        <v>3.49</v>
      </c>
      <c r="O22" s="15"/>
    </row>
    <row r="23" spans="1:15" x14ac:dyDescent="0.4">
      <c r="A23" s="11"/>
      <c r="B23" s="11"/>
      <c r="C23" s="15"/>
      <c r="D23" s="15"/>
      <c r="E23" s="15"/>
      <c r="F23" s="15"/>
      <c r="G23" s="15"/>
      <c r="H23" s="15"/>
      <c r="I23" s="15"/>
      <c r="J23" s="15"/>
      <c r="K23" s="43" t="s">
        <v>14</v>
      </c>
      <c r="L23" s="43">
        <v>1</v>
      </c>
      <c r="M23" s="44">
        <v>3.49</v>
      </c>
      <c r="N23" s="43">
        <f t="shared" si="0"/>
        <v>3.49</v>
      </c>
      <c r="O23" s="15"/>
    </row>
    <row r="24" spans="1:15" x14ac:dyDescent="0.4">
      <c r="A24" s="11"/>
      <c r="B24" s="11"/>
      <c r="C24" s="15"/>
      <c r="D24" s="15"/>
      <c r="E24" s="15"/>
      <c r="F24" s="15"/>
      <c r="G24" s="15"/>
      <c r="H24" s="15"/>
      <c r="I24" s="15"/>
      <c r="J24" s="15"/>
      <c r="K24" s="43" t="s">
        <v>16</v>
      </c>
      <c r="L24" s="43">
        <v>1</v>
      </c>
      <c r="M24" s="44">
        <v>1.99</v>
      </c>
      <c r="N24" s="43">
        <f>ROUND(L24*M24, 2)</f>
        <v>1.99</v>
      </c>
      <c r="O24" s="15"/>
    </row>
    <row r="25" spans="1:15" x14ac:dyDescent="0.4">
      <c r="A25" s="11"/>
      <c r="B25" s="11"/>
      <c r="C25" s="15"/>
      <c r="D25" s="15"/>
      <c r="E25" s="15"/>
      <c r="F25" s="15"/>
      <c r="G25" s="15"/>
      <c r="H25" s="15"/>
      <c r="I25" s="15"/>
      <c r="J25" s="15"/>
      <c r="K25" s="39" t="s">
        <v>8</v>
      </c>
      <c r="L25" s="39">
        <v>1</v>
      </c>
      <c r="M25" s="40">
        <v>0.99</v>
      </c>
      <c r="N25" s="39">
        <f>ROUND(L25*M25, 2)</f>
        <v>0.99</v>
      </c>
      <c r="O25" s="15"/>
    </row>
    <row r="26" spans="1:15" x14ac:dyDescent="0.4">
      <c r="A26" s="11"/>
      <c r="B26" s="11"/>
      <c r="C26" s="15"/>
      <c r="D26" s="15"/>
      <c r="E26" s="15"/>
      <c r="F26" s="15"/>
      <c r="G26" s="15"/>
      <c r="H26" s="15"/>
      <c r="I26" s="15"/>
      <c r="J26" s="15"/>
      <c r="K26" s="43"/>
      <c r="L26" s="43"/>
      <c r="M26" s="44"/>
      <c r="N26" s="43"/>
      <c r="O26" s="15"/>
    </row>
    <row r="27" spans="1:15" x14ac:dyDescent="0.4">
      <c r="A27" s="11"/>
      <c r="B27" s="11"/>
      <c r="C27" s="15"/>
      <c r="D27" s="15"/>
      <c r="E27" s="15"/>
      <c r="F27" s="15"/>
      <c r="G27" s="15"/>
      <c r="H27" s="15"/>
      <c r="I27" s="15"/>
      <c r="J27" s="15"/>
      <c r="K27" s="43"/>
      <c r="L27" s="43"/>
      <c r="M27" s="44"/>
      <c r="N27" s="43"/>
      <c r="O27" s="15"/>
    </row>
    <row r="28" spans="1:15" x14ac:dyDescent="0.4">
      <c r="A28" s="11"/>
      <c r="B28" s="11"/>
      <c r="C28" s="15"/>
      <c r="D28" s="15"/>
      <c r="E28" s="15"/>
      <c r="F28" s="15"/>
      <c r="G28" s="15"/>
      <c r="H28" s="15"/>
      <c r="I28" s="15"/>
      <c r="J28" s="15"/>
      <c r="K28" s="43"/>
      <c r="L28" s="43"/>
      <c r="M28" s="44"/>
      <c r="N28" s="43"/>
      <c r="O28" s="15"/>
    </row>
    <row r="29" spans="1:15" x14ac:dyDescent="0.4">
      <c r="A29" s="11"/>
      <c r="B29" s="11"/>
      <c r="C29" s="15"/>
      <c r="D29" s="15"/>
      <c r="E29" s="15"/>
      <c r="F29" s="15"/>
      <c r="G29" s="15"/>
      <c r="H29" s="15"/>
      <c r="I29" s="15"/>
      <c r="J29" s="15"/>
      <c r="K29" s="43"/>
      <c r="L29" s="43"/>
      <c r="M29" s="44"/>
      <c r="N29" s="43"/>
      <c r="O29" s="15"/>
    </row>
    <row r="30" spans="1:15" x14ac:dyDescent="0.4">
      <c r="A30" s="11"/>
      <c r="B30" s="11"/>
      <c r="C30" s="15"/>
      <c r="D30" s="15"/>
      <c r="E30" s="15"/>
      <c r="F30" s="15"/>
      <c r="G30" s="15"/>
      <c r="H30" s="15"/>
      <c r="I30" s="15"/>
      <c r="J30" s="15"/>
      <c r="K30" s="43"/>
      <c r="L30" s="43"/>
      <c r="M30" s="44"/>
      <c r="N30" s="43"/>
      <c r="O30" s="15"/>
    </row>
    <row r="31" spans="1:15" x14ac:dyDescent="0.4">
      <c r="A31" s="11"/>
      <c r="B31" s="11"/>
      <c r="C31" s="15"/>
      <c r="D31" s="15"/>
      <c r="E31" s="15"/>
      <c r="F31" s="15"/>
      <c r="G31" s="15"/>
      <c r="H31" s="15"/>
      <c r="I31" s="15"/>
      <c r="J31" s="15"/>
      <c r="K31" s="43"/>
      <c r="L31" s="43"/>
      <c r="M31" s="44"/>
      <c r="N31" s="43"/>
      <c r="O31" s="15"/>
    </row>
    <row r="32" spans="1:15" x14ac:dyDescent="0.4">
      <c r="A32" s="11"/>
      <c r="B32" s="11"/>
      <c r="C32" s="15"/>
      <c r="D32" s="15"/>
      <c r="E32" s="15"/>
      <c r="F32" s="15"/>
      <c r="G32" s="15"/>
      <c r="H32" s="15"/>
      <c r="I32" s="15"/>
      <c r="J32" s="15"/>
      <c r="K32" s="43"/>
      <c r="L32" s="43"/>
      <c r="M32" s="44"/>
      <c r="N32" s="43"/>
      <c r="O32" s="15"/>
    </row>
    <row r="33" spans="1:15" x14ac:dyDescent="0.4">
      <c r="A33" s="11"/>
      <c r="B33" s="11"/>
      <c r="C33" s="15"/>
      <c r="D33" s="15"/>
      <c r="E33" s="15"/>
      <c r="F33" s="15"/>
      <c r="G33" s="15"/>
      <c r="H33" s="15"/>
      <c r="I33" s="15"/>
      <c r="J33" s="15"/>
      <c r="K33" s="43"/>
      <c r="L33" s="43"/>
      <c r="M33" s="44"/>
      <c r="N33" s="43"/>
      <c r="O33" s="15"/>
    </row>
    <row r="34" spans="1:15" x14ac:dyDescent="0.4">
      <c r="A34" s="11"/>
      <c r="B34" s="11"/>
      <c r="C34" s="15"/>
      <c r="D34" s="15"/>
      <c r="E34" s="15"/>
      <c r="F34" s="15"/>
      <c r="G34" s="15"/>
      <c r="H34" s="15"/>
      <c r="I34" s="15"/>
      <c r="J34" s="15"/>
      <c r="K34" s="43"/>
      <c r="L34" s="43"/>
      <c r="M34" s="44"/>
      <c r="N34" s="43"/>
      <c r="O34" s="15"/>
    </row>
    <row r="35" spans="1:15" x14ac:dyDescent="0.4">
      <c r="A35" s="11"/>
      <c r="B35" s="11"/>
      <c r="C35" s="15"/>
      <c r="D35" s="15"/>
      <c r="E35" s="15"/>
      <c r="F35" s="15"/>
      <c r="G35" s="15"/>
      <c r="H35" s="15"/>
      <c r="I35" s="15"/>
      <c r="J35" s="15"/>
      <c r="K35" s="43"/>
      <c r="L35" s="43"/>
      <c r="M35" s="44"/>
      <c r="N35" s="43"/>
      <c r="O35" s="15"/>
    </row>
    <row r="36" spans="1:15" x14ac:dyDescent="0.4">
      <c r="A36" s="11"/>
      <c r="B36" s="11"/>
      <c r="C36" s="15"/>
      <c r="D36" s="15"/>
      <c r="E36" s="15"/>
      <c r="F36" s="15"/>
      <c r="G36" s="15"/>
      <c r="H36" s="15"/>
      <c r="I36" s="15"/>
      <c r="J36" s="15"/>
      <c r="K36" s="43"/>
      <c r="L36" s="43"/>
      <c r="M36" s="44"/>
      <c r="N36" s="43"/>
      <c r="O36" s="15"/>
    </row>
    <row r="37" spans="1:15" x14ac:dyDescent="0.4">
      <c r="A37" s="11"/>
      <c r="B37" s="11"/>
      <c r="C37" s="15"/>
      <c r="D37" s="15"/>
      <c r="E37" s="15"/>
      <c r="F37" s="15"/>
      <c r="G37" s="15"/>
      <c r="H37" s="15"/>
      <c r="I37" s="15"/>
      <c r="J37" s="15"/>
      <c r="K37" s="43"/>
      <c r="L37" s="43"/>
      <c r="M37" s="44"/>
      <c r="N37" s="43"/>
      <c r="O37" s="15"/>
    </row>
    <row r="38" spans="1:15" x14ac:dyDescent="0.4">
      <c r="A38" s="11"/>
      <c r="B38" s="11"/>
      <c r="C38" s="15"/>
      <c r="D38" s="15"/>
      <c r="E38" s="15"/>
      <c r="F38" s="15"/>
      <c r="G38" s="15"/>
      <c r="H38" s="15"/>
      <c r="I38" s="15"/>
      <c r="J38" s="15"/>
      <c r="K38" s="43"/>
      <c r="L38" s="43"/>
      <c r="M38" s="44"/>
      <c r="N38" s="43"/>
      <c r="O38" s="15"/>
    </row>
    <row r="39" spans="1:15" x14ac:dyDescent="0.4">
      <c r="A39" s="11"/>
      <c r="B39" s="11"/>
      <c r="C39" s="15"/>
      <c r="D39" s="15"/>
      <c r="E39" s="15"/>
      <c r="F39" s="15"/>
      <c r="G39" s="15"/>
      <c r="H39" s="15"/>
      <c r="I39" s="15"/>
      <c r="J39" s="15"/>
      <c r="K39" s="43"/>
      <c r="L39" s="43"/>
      <c r="M39" s="44"/>
      <c r="N39" s="43"/>
      <c r="O39" s="15"/>
    </row>
    <row r="40" spans="1:15" x14ac:dyDescent="0.4">
      <c r="A40" s="11"/>
      <c r="B40" s="11"/>
      <c r="C40" s="15"/>
      <c r="D40" s="15"/>
      <c r="E40" s="15"/>
      <c r="F40" s="15"/>
      <c r="G40" s="15"/>
      <c r="H40" s="15"/>
      <c r="I40" s="15"/>
      <c r="J40" s="15"/>
      <c r="K40" s="43"/>
      <c r="L40" s="43"/>
      <c r="M40" s="44"/>
      <c r="N40" s="43"/>
      <c r="O40" s="15"/>
    </row>
    <row r="41" spans="1:15" x14ac:dyDescent="0.4">
      <c r="K41" s="43"/>
      <c r="L41" s="43"/>
      <c r="M41" s="44"/>
      <c r="N41" s="43"/>
    </row>
    <row r="42" spans="1:15" x14ac:dyDescent="0.4">
      <c r="K42" s="43"/>
      <c r="L42" s="43"/>
      <c r="M42" s="44"/>
      <c r="N42" s="43"/>
    </row>
    <row r="43" spans="1:15" x14ac:dyDescent="0.4">
      <c r="K43" s="43"/>
      <c r="L43" s="43"/>
      <c r="M43" s="44"/>
      <c r="N43" s="43"/>
    </row>
    <row r="44" spans="1:15" x14ac:dyDescent="0.4">
      <c r="K44" s="43"/>
      <c r="L44" s="43"/>
      <c r="M44" s="44"/>
      <c r="N44" s="43"/>
    </row>
    <row r="45" spans="1:15" x14ac:dyDescent="0.4">
      <c r="K45" s="43"/>
      <c r="L45" s="43"/>
      <c r="M45" s="44"/>
      <c r="N45" s="43"/>
    </row>
    <row r="46" spans="1:15" x14ac:dyDescent="0.4">
      <c r="K46" s="43"/>
      <c r="L46" s="43"/>
      <c r="M46" s="44"/>
      <c r="N46" s="43"/>
    </row>
    <row r="47" spans="1:15" x14ac:dyDescent="0.4">
      <c r="K47" s="43"/>
      <c r="L47" s="43"/>
      <c r="M47" s="44"/>
      <c r="N47" s="43"/>
    </row>
    <row r="48" spans="1:15" x14ac:dyDescent="0.4">
      <c r="K48" s="43"/>
      <c r="L48" s="43"/>
      <c r="M48" s="44"/>
      <c r="N48" s="43"/>
    </row>
    <row r="49" spans="11:14" x14ac:dyDescent="0.4">
      <c r="K49" s="43"/>
      <c r="L49" s="43"/>
      <c r="M49" s="44"/>
      <c r="N49" s="43"/>
    </row>
    <row r="50" spans="11:14" x14ac:dyDescent="0.4">
      <c r="K50" s="43"/>
      <c r="L50" s="43"/>
      <c r="M50" s="44"/>
      <c r="N50" s="43"/>
    </row>
    <row r="51" spans="11:14" x14ac:dyDescent="0.4">
      <c r="K51" s="43"/>
      <c r="L51" s="43"/>
      <c r="M51" s="44"/>
      <c r="N51" s="43"/>
    </row>
    <row r="52" spans="11:14" x14ac:dyDescent="0.4">
      <c r="K52" s="43"/>
      <c r="L52" s="43"/>
      <c r="M52" s="44"/>
      <c r="N52" s="43"/>
    </row>
    <row r="53" spans="11:14" x14ac:dyDescent="0.4">
      <c r="K53" s="43"/>
      <c r="L53" s="43"/>
      <c r="M53" s="44"/>
      <c r="N53" s="43"/>
    </row>
    <row r="54" spans="11:14" x14ac:dyDescent="0.4">
      <c r="K54" s="43"/>
      <c r="L54" s="43"/>
      <c r="M54" s="44"/>
      <c r="N54" s="43"/>
    </row>
    <row r="55" spans="11:14" x14ac:dyDescent="0.4">
      <c r="K55" s="43"/>
      <c r="L55" s="43"/>
      <c r="M55" s="44"/>
      <c r="N55" s="43"/>
    </row>
    <row r="56" spans="11:14" x14ac:dyDescent="0.4">
      <c r="K56" s="43"/>
      <c r="L56" s="43"/>
      <c r="M56" s="44"/>
      <c r="N56" s="43"/>
    </row>
    <row r="57" spans="11:14" x14ac:dyDescent="0.4">
      <c r="K57" s="43"/>
      <c r="L57" s="43"/>
      <c r="M57" s="44"/>
      <c r="N57" s="43"/>
    </row>
    <row r="58" spans="11:14" x14ac:dyDescent="0.4">
      <c r="K58" s="43"/>
      <c r="L58" s="43"/>
      <c r="M58" s="44"/>
      <c r="N58" s="43"/>
    </row>
    <row r="59" spans="11:14" x14ac:dyDescent="0.4">
      <c r="K59" s="43"/>
      <c r="L59" s="43"/>
      <c r="M59" s="44"/>
      <c r="N59" s="43"/>
    </row>
    <row r="60" spans="11:14" x14ac:dyDescent="0.4">
      <c r="K60" s="43"/>
      <c r="L60" s="43"/>
      <c r="M60" s="44"/>
      <c r="N60" s="43"/>
    </row>
    <row r="61" spans="11:14" x14ac:dyDescent="0.4">
      <c r="K61" s="43"/>
      <c r="L61" s="43"/>
      <c r="M61" s="44"/>
      <c r="N61" s="43"/>
    </row>
    <row r="62" spans="11:14" x14ac:dyDescent="0.4">
      <c r="K62" s="43"/>
      <c r="L62" s="43"/>
      <c r="M62" s="44"/>
      <c r="N62" s="43"/>
    </row>
    <row r="63" spans="11:14" x14ac:dyDescent="0.4">
      <c r="K63" s="43"/>
      <c r="L63" s="43"/>
      <c r="M63" s="44"/>
      <c r="N63" s="43"/>
    </row>
    <row r="64" spans="11:14" x14ac:dyDescent="0.4">
      <c r="K64" s="43"/>
      <c r="L64" s="43"/>
      <c r="M64" s="44"/>
      <c r="N64" s="43"/>
    </row>
    <row r="65" spans="11:14" x14ac:dyDescent="0.4">
      <c r="K65" s="43"/>
      <c r="L65" s="43"/>
      <c r="M65" s="44"/>
      <c r="N65" s="43"/>
    </row>
    <row r="66" spans="11:14" x14ac:dyDescent="0.4">
      <c r="K66" s="43"/>
      <c r="L66" s="43"/>
      <c r="M66" s="44"/>
      <c r="N66" s="43"/>
    </row>
    <row r="67" spans="11:14" x14ac:dyDescent="0.4">
      <c r="K67" s="43"/>
      <c r="L67" s="43"/>
      <c r="M67" s="44"/>
      <c r="N67" s="43"/>
    </row>
    <row r="68" spans="11:14" x14ac:dyDescent="0.4">
      <c r="K68" s="43"/>
      <c r="L68" s="43"/>
      <c r="M68" s="44"/>
      <c r="N68" s="43"/>
    </row>
    <row r="69" spans="11:14" x14ac:dyDescent="0.4">
      <c r="K69" s="43"/>
      <c r="L69" s="43"/>
      <c r="M69" s="44"/>
      <c r="N69" s="43"/>
    </row>
    <row r="70" spans="11:14" x14ac:dyDescent="0.4">
      <c r="K70" s="43"/>
      <c r="L70" s="43"/>
      <c r="M70" s="44"/>
      <c r="N70" s="43"/>
    </row>
    <row r="71" spans="11:14" x14ac:dyDescent="0.4">
      <c r="K71" s="43"/>
      <c r="L71" s="43"/>
      <c r="M71" s="44"/>
      <c r="N71" s="43"/>
    </row>
    <row r="72" spans="11:14" x14ac:dyDescent="0.4">
      <c r="K72" s="43"/>
      <c r="L72" s="43"/>
      <c r="M72" s="44"/>
      <c r="N72" s="43"/>
    </row>
    <row r="73" spans="11:14" x14ac:dyDescent="0.4">
      <c r="K73" s="43"/>
      <c r="L73" s="43"/>
      <c r="M73" s="44"/>
      <c r="N73" s="43"/>
    </row>
    <row r="74" spans="11:14" x14ac:dyDescent="0.4">
      <c r="K74" s="43"/>
      <c r="L74" s="43"/>
      <c r="M74" s="44"/>
      <c r="N74" s="43"/>
    </row>
    <row r="75" spans="11:14" x14ac:dyDescent="0.4">
      <c r="K75" s="43"/>
      <c r="L75" s="43"/>
      <c r="M75" s="44"/>
      <c r="N75" s="43"/>
    </row>
    <row r="76" spans="11:14" x14ac:dyDescent="0.4">
      <c r="K76" s="43"/>
      <c r="L76" s="43"/>
      <c r="M76" s="44"/>
      <c r="N76" s="43"/>
    </row>
    <row r="77" spans="11:14" x14ac:dyDescent="0.4">
      <c r="K77" s="43"/>
      <c r="L77" s="43"/>
      <c r="M77" s="44"/>
      <c r="N77" s="43"/>
    </row>
    <row r="78" spans="11:14" x14ac:dyDescent="0.4">
      <c r="K78" s="43"/>
      <c r="L78" s="43"/>
      <c r="M78" s="44"/>
      <c r="N78" s="43"/>
    </row>
    <row r="79" spans="11:14" x14ac:dyDescent="0.4">
      <c r="K79" s="43"/>
      <c r="L79" s="43"/>
      <c r="M79" s="43"/>
      <c r="N79" s="43"/>
    </row>
    <row r="80" spans="11:14" x14ac:dyDescent="0.4">
      <c r="N80" s="43"/>
    </row>
    <row r="81" spans="14:14" x14ac:dyDescent="0.4">
      <c r="N81" s="43"/>
    </row>
    <row r="82" spans="14:14" x14ac:dyDescent="0.4">
      <c r="N82" s="43"/>
    </row>
    <row r="83" spans="14:14" x14ac:dyDescent="0.4">
      <c r="N83" s="43"/>
    </row>
    <row r="84" spans="14:14" x14ac:dyDescent="0.4">
      <c r="N84" s="43"/>
    </row>
    <row r="85" spans="14:14" x14ac:dyDescent="0.4">
      <c r="N85" s="43"/>
    </row>
    <row r="86" spans="14:14" x14ac:dyDescent="0.4">
      <c r="N86" s="43"/>
    </row>
    <row r="87" spans="14:14" x14ac:dyDescent="0.4">
      <c r="N87" s="43"/>
    </row>
    <row r="88" spans="14:14" x14ac:dyDescent="0.4">
      <c r="N88" s="43"/>
    </row>
    <row r="89" spans="14:14" x14ac:dyDescent="0.4">
      <c r="N89" s="43"/>
    </row>
    <row r="90" spans="14:14" x14ac:dyDescent="0.4">
      <c r="N90" s="43"/>
    </row>
    <row r="91" spans="14:14" x14ac:dyDescent="0.4">
      <c r="N91" s="43"/>
    </row>
    <row r="92" spans="14:14" x14ac:dyDescent="0.4">
      <c r="N92" s="43"/>
    </row>
    <row r="93" spans="14:14" x14ac:dyDescent="0.4">
      <c r="N93" s="43"/>
    </row>
    <row r="94" spans="14:14" x14ac:dyDescent="0.4">
      <c r="N94" s="43"/>
    </row>
    <row r="95" spans="14:14" x14ac:dyDescent="0.4">
      <c r="N95" s="43"/>
    </row>
    <row r="96" spans="14:14" x14ac:dyDescent="0.4">
      <c r="N96" s="43"/>
    </row>
    <row r="97" spans="14:14" x14ac:dyDescent="0.4">
      <c r="N97" s="43"/>
    </row>
    <row r="98" spans="14:14" x14ac:dyDescent="0.4">
      <c r="N98" s="43"/>
    </row>
    <row r="99" spans="14:14" x14ac:dyDescent="0.4">
      <c r="N99" s="43"/>
    </row>
    <row r="100" spans="14:14" x14ac:dyDescent="0.4">
      <c r="N100" s="43"/>
    </row>
    <row r="101" spans="14:14" x14ac:dyDescent="0.4">
      <c r="N101" s="43"/>
    </row>
    <row r="102" spans="14:14" x14ac:dyDescent="0.4">
      <c r="N102" s="43"/>
    </row>
    <row r="103" spans="14:14" x14ac:dyDescent="0.4">
      <c r="N103" s="43"/>
    </row>
    <row r="104" spans="14:14" x14ac:dyDescent="0.4">
      <c r="N104" s="43"/>
    </row>
    <row r="105" spans="14:14" x14ac:dyDescent="0.4">
      <c r="N105" s="43"/>
    </row>
    <row r="106" spans="14:14" x14ac:dyDescent="0.4">
      <c r="N106" s="43"/>
    </row>
    <row r="107" spans="14:14" x14ac:dyDescent="0.4">
      <c r="N107" s="43"/>
    </row>
    <row r="108" spans="14:14" x14ac:dyDescent="0.4">
      <c r="N108" s="43"/>
    </row>
    <row r="109" spans="14:14" x14ac:dyDescent="0.4">
      <c r="N109" s="43"/>
    </row>
    <row r="110" spans="14:14" x14ac:dyDescent="0.4">
      <c r="N110" s="43"/>
    </row>
    <row r="111" spans="14:14" x14ac:dyDescent="0.4">
      <c r="N111" s="43"/>
    </row>
    <row r="112" spans="14:14" x14ac:dyDescent="0.4">
      <c r="N112" s="43"/>
    </row>
    <row r="113" spans="14:14" x14ac:dyDescent="0.4">
      <c r="N113" s="43"/>
    </row>
    <row r="114" spans="14:14" x14ac:dyDescent="0.4">
      <c r="N114" s="43"/>
    </row>
    <row r="115" spans="14:14" x14ac:dyDescent="0.4">
      <c r="N115" s="43"/>
    </row>
    <row r="116" spans="14:14" x14ac:dyDescent="0.4">
      <c r="N116" s="43"/>
    </row>
    <row r="117" spans="14:14" x14ac:dyDescent="0.4">
      <c r="N117" s="43"/>
    </row>
    <row r="118" spans="14:14" x14ac:dyDescent="0.4">
      <c r="N118" s="43"/>
    </row>
    <row r="119" spans="14:14" x14ac:dyDescent="0.4">
      <c r="N119" s="43"/>
    </row>
    <row r="120" spans="14:14" x14ac:dyDescent="0.4">
      <c r="N120" s="43"/>
    </row>
    <row r="121" spans="14:14" x14ac:dyDescent="0.4">
      <c r="N121" s="43"/>
    </row>
    <row r="122" spans="14:14" x14ac:dyDescent="0.4">
      <c r="N122" s="43"/>
    </row>
    <row r="123" spans="14:14" x14ac:dyDescent="0.4">
      <c r="N123" s="43"/>
    </row>
    <row r="124" spans="14:14" x14ac:dyDescent="0.4">
      <c r="N124" s="43"/>
    </row>
    <row r="125" spans="14:14" x14ac:dyDescent="0.4">
      <c r="N125" s="43"/>
    </row>
    <row r="126" spans="14:14" x14ac:dyDescent="0.4">
      <c r="N126" s="43"/>
    </row>
    <row r="127" spans="14:14" x14ac:dyDescent="0.4">
      <c r="N127" s="43"/>
    </row>
    <row r="128" spans="14:14" x14ac:dyDescent="0.4">
      <c r="N128" s="43"/>
    </row>
    <row r="129" spans="14:14" x14ac:dyDescent="0.4">
      <c r="N129" s="43"/>
    </row>
    <row r="130" spans="14:14" x14ac:dyDescent="0.4">
      <c r="N130" s="43"/>
    </row>
    <row r="131" spans="14:14" x14ac:dyDescent="0.4">
      <c r="N131" s="43"/>
    </row>
    <row r="132" spans="14:14" x14ac:dyDescent="0.4">
      <c r="N132" s="43"/>
    </row>
    <row r="133" spans="14:14" x14ac:dyDescent="0.4">
      <c r="N133" s="43"/>
    </row>
    <row r="134" spans="14:14" x14ac:dyDescent="0.4">
      <c r="N134" s="43"/>
    </row>
    <row r="135" spans="14:14" x14ac:dyDescent="0.4">
      <c r="N135" s="43"/>
    </row>
    <row r="136" spans="14:14" x14ac:dyDescent="0.4">
      <c r="N136" s="43"/>
    </row>
    <row r="137" spans="14:14" x14ac:dyDescent="0.4">
      <c r="N137" s="43"/>
    </row>
    <row r="138" spans="14:14" x14ac:dyDescent="0.4">
      <c r="N138" s="43"/>
    </row>
    <row r="139" spans="14:14" x14ac:dyDescent="0.4">
      <c r="N139" s="43"/>
    </row>
    <row r="140" spans="14:14" x14ac:dyDescent="0.4">
      <c r="N140" s="43"/>
    </row>
    <row r="141" spans="14:14" x14ac:dyDescent="0.4">
      <c r="N141" s="43"/>
    </row>
    <row r="142" spans="14:14" x14ac:dyDescent="0.4">
      <c r="N142" s="43"/>
    </row>
    <row r="143" spans="14:14" x14ac:dyDescent="0.4">
      <c r="N143" s="43"/>
    </row>
    <row r="144" spans="14:14" x14ac:dyDescent="0.4">
      <c r="N144" s="43"/>
    </row>
    <row r="145" spans="14:14" x14ac:dyDescent="0.4">
      <c r="N145" s="43"/>
    </row>
    <row r="146" spans="14:14" x14ac:dyDescent="0.4">
      <c r="N146" s="43"/>
    </row>
    <row r="147" spans="14:14" x14ac:dyDescent="0.4">
      <c r="N147" s="43"/>
    </row>
    <row r="148" spans="14:14" x14ac:dyDescent="0.4">
      <c r="N148" s="43"/>
    </row>
    <row r="149" spans="14:14" x14ac:dyDescent="0.4">
      <c r="N149" s="43"/>
    </row>
    <row r="150" spans="14:14" x14ac:dyDescent="0.4">
      <c r="N150" s="43"/>
    </row>
    <row r="151" spans="14:14" x14ac:dyDescent="0.4">
      <c r="N151" s="43"/>
    </row>
    <row r="152" spans="14:14" x14ac:dyDescent="0.4">
      <c r="N152" s="43"/>
    </row>
    <row r="153" spans="14:14" x14ac:dyDescent="0.4">
      <c r="N153" s="43"/>
    </row>
    <row r="154" spans="14:14" x14ac:dyDescent="0.4">
      <c r="N154" s="43"/>
    </row>
    <row r="155" spans="14:14" x14ac:dyDescent="0.4">
      <c r="N155" s="43"/>
    </row>
    <row r="156" spans="14:14" x14ac:dyDescent="0.4">
      <c r="N156" s="43"/>
    </row>
    <row r="157" spans="14:14" x14ac:dyDescent="0.4">
      <c r="N157" s="43"/>
    </row>
    <row r="158" spans="14:14" x14ac:dyDescent="0.4">
      <c r="N158" s="43"/>
    </row>
    <row r="159" spans="14:14" x14ac:dyDescent="0.4">
      <c r="N159" s="43"/>
    </row>
    <row r="160" spans="14:14" x14ac:dyDescent="0.4">
      <c r="N160" s="43"/>
    </row>
    <row r="161" spans="14:14" x14ac:dyDescent="0.4">
      <c r="N161" s="43"/>
    </row>
    <row r="162" spans="14:14" x14ac:dyDescent="0.4">
      <c r="N162" s="43"/>
    </row>
    <row r="163" spans="14:14" x14ac:dyDescent="0.4">
      <c r="N163" s="43"/>
    </row>
    <row r="164" spans="14:14" x14ac:dyDescent="0.4">
      <c r="N164" s="43"/>
    </row>
    <row r="165" spans="14:14" x14ac:dyDescent="0.4">
      <c r="N165" s="43"/>
    </row>
    <row r="166" spans="14:14" x14ac:dyDescent="0.4">
      <c r="N166" s="43"/>
    </row>
    <row r="167" spans="14:14" x14ac:dyDescent="0.4">
      <c r="N167" s="43"/>
    </row>
    <row r="168" spans="14:14" x14ac:dyDescent="0.4">
      <c r="N168" s="43"/>
    </row>
    <row r="169" spans="14:14" x14ac:dyDescent="0.4">
      <c r="N169" s="43"/>
    </row>
    <row r="170" spans="14:14" x14ac:dyDescent="0.4">
      <c r="N170" s="43"/>
    </row>
    <row r="171" spans="14:14" x14ac:dyDescent="0.4">
      <c r="N171" s="43"/>
    </row>
    <row r="172" spans="14:14" x14ac:dyDescent="0.4">
      <c r="N172" s="43"/>
    </row>
    <row r="173" spans="14:14" x14ac:dyDescent="0.4">
      <c r="N173" s="43"/>
    </row>
    <row r="174" spans="14:14" x14ac:dyDescent="0.4">
      <c r="N174" s="43"/>
    </row>
    <row r="175" spans="14:14" x14ac:dyDescent="0.4">
      <c r="N175" s="43"/>
    </row>
    <row r="176" spans="14:14" x14ac:dyDescent="0.4">
      <c r="N176" s="43"/>
    </row>
    <row r="177" spans="14:14" x14ac:dyDescent="0.4">
      <c r="N177" s="43"/>
    </row>
    <row r="178" spans="14:14" x14ac:dyDescent="0.4">
      <c r="N178" s="43"/>
    </row>
    <row r="179" spans="14:14" x14ac:dyDescent="0.4">
      <c r="N179" s="43"/>
    </row>
    <row r="180" spans="14:14" x14ac:dyDescent="0.4">
      <c r="N180" s="43"/>
    </row>
    <row r="181" spans="14:14" x14ac:dyDescent="0.4">
      <c r="N181" s="43"/>
    </row>
    <row r="182" spans="14:14" x14ac:dyDescent="0.4">
      <c r="N182" s="43"/>
    </row>
    <row r="183" spans="14:14" x14ac:dyDescent="0.4">
      <c r="N183" s="43"/>
    </row>
    <row r="184" spans="14:14" x14ac:dyDescent="0.4">
      <c r="N184" s="43"/>
    </row>
    <row r="185" spans="14:14" x14ac:dyDescent="0.4">
      <c r="N185" s="43"/>
    </row>
    <row r="186" spans="14:14" x14ac:dyDescent="0.4">
      <c r="N186" s="43"/>
    </row>
    <row r="187" spans="14:14" x14ac:dyDescent="0.4">
      <c r="N187" s="43"/>
    </row>
    <row r="188" spans="14:14" x14ac:dyDescent="0.4">
      <c r="N188" s="43"/>
    </row>
    <row r="189" spans="14:14" x14ac:dyDescent="0.4">
      <c r="N189" s="43"/>
    </row>
    <row r="190" spans="14:14" x14ac:dyDescent="0.4">
      <c r="N190" s="43"/>
    </row>
    <row r="191" spans="14:14" x14ac:dyDescent="0.4">
      <c r="N191" s="43"/>
    </row>
    <row r="192" spans="14:14" x14ac:dyDescent="0.4">
      <c r="N192" s="43"/>
    </row>
    <row r="193" spans="14:14" x14ac:dyDescent="0.4">
      <c r="N193" s="43"/>
    </row>
    <row r="194" spans="14:14" x14ac:dyDescent="0.4">
      <c r="N194" s="43"/>
    </row>
    <row r="195" spans="14:14" x14ac:dyDescent="0.4">
      <c r="N195" s="43"/>
    </row>
    <row r="196" spans="14:14" x14ac:dyDescent="0.4">
      <c r="N196" s="43"/>
    </row>
    <row r="197" spans="14:14" x14ac:dyDescent="0.4">
      <c r="N197" s="43"/>
    </row>
    <row r="198" spans="14:14" x14ac:dyDescent="0.4">
      <c r="N198" s="43"/>
    </row>
    <row r="199" spans="14:14" x14ac:dyDescent="0.4">
      <c r="N199" s="43"/>
    </row>
    <row r="200" spans="14:14" x14ac:dyDescent="0.4">
      <c r="N200" s="43"/>
    </row>
    <row r="201" spans="14:14" x14ac:dyDescent="0.4">
      <c r="N201" s="43"/>
    </row>
    <row r="202" spans="14:14" x14ac:dyDescent="0.4">
      <c r="N202" s="43"/>
    </row>
    <row r="203" spans="14:14" x14ac:dyDescent="0.4">
      <c r="N203" s="43"/>
    </row>
    <row r="204" spans="14:14" x14ac:dyDescent="0.4">
      <c r="N204" s="43"/>
    </row>
    <row r="205" spans="14:14" x14ac:dyDescent="0.4">
      <c r="N205" s="43"/>
    </row>
    <row r="206" spans="14:14" x14ac:dyDescent="0.4">
      <c r="N206" s="43"/>
    </row>
    <row r="207" spans="14:14" x14ac:dyDescent="0.4">
      <c r="N207" s="43"/>
    </row>
    <row r="208" spans="14:14" x14ac:dyDescent="0.4">
      <c r="N208" s="43"/>
    </row>
    <row r="209" spans="14:14" x14ac:dyDescent="0.4">
      <c r="N209" s="43"/>
    </row>
    <row r="210" spans="14:14" x14ac:dyDescent="0.4">
      <c r="N210" s="43"/>
    </row>
    <row r="211" spans="14:14" x14ac:dyDescent="0.4">
      <c r="N211" s="43"/>
    </row>
    <row r="212" spans="14:14" x14ac:dyDescent="0.4">
      <c r="N212" s="43"/>
    </row>
    <row r="213" spans="14:14" x14ac:dyDescent="0.4">
      <c r="N213" s="43"/>
    </row>
    <row r="214" spans="14:14" x14ac:dyDescent="0.4">
      <c r="N214" s="43"/>
    </row>
    <row r="215" spans="14:14" x14ac:dyDescent="0.4">
      <c r="N215" s="43"/>
    </row>
    <row r="216" spans="14:14" x14ac:dyDescent="0.4">
      <c r="N216" s="43"/>
    </row>
    <row r="217" spans="14:14" x14ac:dyDescent="0.4">
      <c r="N217" s="43"/>
    </row>
    <row r="218" spans="14:14" x14ac:dyDescent="0.4">
      <c r="N218" s="43"/>
    </row>
    <row r="219" spans="14:14" x14ac:dyDescent="0.4">
      <c r="N219" s="43"/>
    </row>
    <row r="220" spans="14:14" x14ac:dyDescent="0.4">
      <c r="N220" s="43"/>
    </row>
    <row r="221" spans="14:14" x14ac:dyDescent="0.4">
      <c r="N221" s="43"/>
    </row>
    <row r="222" spans="14:14" x14ac:dyDescent="0.4">
      <c r="N222" s="43"/>
    </row>
    <row r="223" spans="14:14" x14ac:dyDescent="0.4">
      <c r="N223" s="43"/>
    </row>
    <row r="224" spans="14:14" x14ac:dyDescent="0.4">
      <c r="N224" s="43"/>
    </row>
    <row r="225" spans="14:14" x14ac:dyDescent="0.4">
      <c r="N225" s="43"/>
    </row>
    <row r="226" spans="14:14" x14ac:dyDescent="0.4">
      <c r="N226" s="43"/>
    </row>
    <row r="227" spans="14:14" x14ac:dyDescent="0.4">
      <c r="N227" s="43"/>
    </row>
    <row r="228" spans="14:14" x14ac:dyDescent="0.4">
      <c r="N228" s="43"/>
    </row>
    <row r="229" spans="14:14" x14ac:dyDescent="0.4">
      <c r="N229" s="43"/>
    </row>
    <row r="230" spans="14:14" x14ac:dyDescent="0.4">
      <c r="N230" s="43"/>
    </row>
    <row r="231" spans="14:14" x14ac:dyDescent="0.4">
      <c r="N231" s="43"/>
    </row>
    <row r="232" spans="14:14" x14ac:dyDescent="0.4">
      <c r="N232" s="43"/>
    </row>
    <row r="233" spans="14:14" x14ac:dyDescent="0.4">
      <c r="N233" s="43"/>
    </row>
    <row r="234" spans="14:14" x14ac:dyDescent="0.4">
      <c r="N234" s="43"/>
    </row>
    <row r="235" spans="14:14" x14ac:dyDescent="0.4">
      <c r="N235" s="43"/>
    </row>
    <row r="236" spans="14:14" x14ac:dyDescent="0.4">
      <c r="N236" s="43"/>
    </row>
    <row r="237" spans="14:14" x14ac:dyDescent="0.4">
      <c r="N237" s="43"/>
    </row>
    <row r="238" spans="14:14" x14ac:dyDescent="0.4">
      <c r="N238" s="43"/>
    </row>
    <row r="239" spans="14:14" x14ac:dyDescent="0.4">
      <c r="N239" s="43"/>
    </row>
    <row r="240" spans="14:14" x14ac:dyDescent="0.4">
      <c r="N240" s="43"/>
    </row>
    <row r="241" spans="14:14" x14ac:dyDescent="0.4">
      <c r="N241" s="43"/>
    </row>
    <row r="242" spans="14:14" x14ac:dyDescent="0.4">
      <c r="N242" s="43"/>
    </row>
    <row r="243" spans="14:14" x14ac:dyDescent="0.4">
      <c r="N243" s="43"/>
    </row>
    <row r="244" spans="14:14" x14ac:dyDescent="0.4">
      <c r="N244" s="43"/>
    </row>
    <row r="245" spans="14:14" x14ac:dyDescent="0.4">
      <c r="N245" s="43"/>
    </row>
    <row r="246" spans="14:14" x14ac:dyDescent="0.4">
      <c r="N246" s="43"/>
    </row>
    <row r="247" spans="14:14" x14ac:dyDescent="0.4">
      <c r="N247" s="43"/>
    </row>
    <row r="248" spans="14:14" x14ac:dyDescent="0.4">
      <c r="N248" s="43"/>
    </row>
    <row r="249" spans="14:14" x14ac:dyDescent="0.4">
      <c r="N249" s="43"/>
    </row>
    <row r="250" spans="14:14" x14ac:dyDescent="0.4">
      <c r="N250" s="43"/>
    </row>
    <row r="251" spans="14:14" x14ac:dyDescent="0.4">
      <c r="N251" s="43"/>
    </row>
    <row r="252" spans="14:14" x14ac:dyDescent="0.4">
      <c r="N252" s="43"/>
    </row>
    <row r="253" spans="14:14" x14ac:dyDescent="0.4">
      <c r="N253" s="43"/>
    </row>
    <row r="254" spans="14:14" x14ac:dyDescent="0.4">
      <c r="N254" s="43"/>
    </row>
    <row r="255" spans="14:14" x14ac:dyDescent="0.4">
      <c r="N255" s="43"/>
    </row>
    <row r="256" spans="14:14" x14ac:dyDescent="0.4">
      <c r="N256" s="43"/>
    </row>
    <row r="257" spans="14:14" x14ac:dyDescent="0.4">
      <c r="N257" s="43"/>
    </row>
    <row r="258" spans="14:14" x14ac:dyDescent="0.4">
      <c r="N258" s="43"/>
    </row>
    <row r="259" spans="14:14" x14ac:dyDescent="0.4">
      <c r="N259" s="43"/>
    </row>
    <row r="260" spans="14:14" x14ac:dyDescent="0.4">
      <c r="N260" s="43"/>
    </row>
    <row r="261" spans="14:14" x14ac:dyDescent="0.4">
      <c r="N261" s="43"/>
    </row>
    <row r="262" spans="14:14" x14ac:dyDescent="0.4">
      <c r="N262" s="43"/>
    </row>
    <row r="263" spans="14:14" x14ac:dyDescent="0.4">
      <c r="N263" s="43"/>
    </row>
    <row r="264" spans="14:14" x14ac:dyDescent="0.4">
      <c r="N264" s="43"/>
    </row>
    <row r="265" spans="14:14" x14ac:dyDescent="0.4">
      <c r="N265" s="43"/>
    </row>
    <row r="266" spans="14:14" x14ac:dyDescent="0.4">
      <c r="N266" s="43"/>
    </row>
    <row r="267" spans="14:14" x14ac:dyDescent="0.4">
      <c r="N267" s="43"/>
    </row>
    <row r="268" spans="14:14" x14ac:dyDescent="0.4">
      <c r="N268" s="43"/>
    </row>
    <row r="269" spans="14:14" x14ac:dyDescent="0.4">
      <c r="N269" s="43"/>
    </row>
    <row r="270" spans="14:14" x14ac:dyDescent="0.4">
      <c r="N270" s="43"/>
    </row>
    <row r="271" spans="14:14" x14ac:dyDescent="0.4">
      <c r="N271" s="43"/>
    </row>
    <row r="272" spans="14:14" x14ac:dyDescent="0.4">
      <c r="N272" s="43"/>
    </row>
    <row r="273" spans="14:14" x14ac:dyDescent="0.4">
      <c r="N273" s="43"/>
    </row>
    <row r="274" spans="14:14" x14ac:dyDescent="0.4">
      <c r="N274" s="43"/>
    </row>
    <row r="275" spans="14:14" x14ac:dyDescent="0.4">
      <c r="N275" s="43"/>
    </row>
    <row r="276" spans="14:14" x14ac:dyDescent="0.4">
      <c r="N276" s="43"/>
    </row>
    <row r="277" spans="14:14" x14ac:dyDescent="0.4">
      <c r="N277" s="43"/>
    </row>
    <row r="278" spans="14:14" x14ac:dyDescent="0.4">
      <c r="N278" s="43"/>
    </row>
    <row r="279" spans="14:14" x14ac:dyDescent="0.4">
      <c r="N279" s="43"/>
    </row>
    <row r="280" spans="14:14" x14ac:dyDescent="0.4">
      <c r="N280" s="43"/>
    </row>
    <row r="281" spans="14:14" x14ac:dyDescent="0.4">
      <c r="N281" s="43"/>
    </row>
    <row r="282" spans="14:14" x14ac:dyDescent="0.4">
      <c r="N282" s="43"/>
    </row>
    <row r="283" spans="14:14" x14ac:dyDescent="0.4">
      <c r="N283" s="43"/>
    </row>
    <row r="284" spans="14:14" x14ac:dyDescent="0.4">
      <c r="N284" s="43"/>
    </row>
    <row r="285" spans="14:14" x14ac:dyDescent="0.4">
      <c r="N285" s="43"/>
    </row>
    <row r="286" spans="14:14" x14ac:dyDescent="0.4">
      <c r="N286" s="43"/>
    </row>
    <row r="287" spans="14:14" x14ac:dyDescent="0.4">
      <c r="N287" s="43"/>
    </row>
    <row r="288" spans="14:14" x14ac:dyDescent="0.4">
      <c r="N288" s="43"/>
    </row>
    <row r="289" spans="14:14" x14ac:dyDescent="0.4">
      <c r="N289" s="43"/>
    </row>
    <row r="290" spans="14:14" x14ac:dyDescent="0.4">
      <c r="N290" s="43"/>
    </row>
    <row r="291" spans="14:14" x14ac:dyDescent="0.4">
      <c r="N291" s="43"/>
    </row>
    <row r="292" spans="14:14" x14ac:dyDescent="0.4">
      <c r="N292" s="43"/>
    </row>
    <row r="293" spans="14:14" x14ac:dyDescent="0.4">
      <c r="N293" s="43"/>
    </row>
    <row r="294" spans="14:14" x14ac:dyDescent="0.4">
      <c r="N294" s="43"/>
    </row>
    <row r="295" spans="14:14" x14ac:dyDescent="0.4">
      <c r="N295" s="43"/>
    </row>
    <row r="296" spans="14:14" x14ac:dyDescent="0.4">
      <c r="N296" s="43"/>
    </row>
    <row r="297" spans="14:14" x14ac:dyDescent="0.4">
      <c r="N297" s="43"/>
    </row>
    <row r="298" spans="14:14" x14ac:dyDescent="0.4">
      <c r="N298" s="43"/>
    </row>
    <row r="299" spans="14:14" x14ac:dyDescent="0.4">
      <c r="N299" s="43"/>
    </row>
    <row r="300" spans="14:14" x14ac:dyDescent="0.4">
      <c r="N300" s="43"/>
    </row>
    <row r="301" spans="14:14" x14ac:dyDescent="0.4">
      <c r="N301" s="43"/>
    </row>
    <row r="302" spans="14:14" x14ac:dyDescent="0.4">
      <c r="N302" s="43"/>
    </row>
    <row r="303" spans="14:14" x14ac:dyDescent="0.4">
      <c r="N303" s="43"/>
    </row>
    <row r="304" spans="14:14" x14ac:dyDescent="0.4">
      <c r="N304" s="43"/>
    </row>
    <row r="305" spans="14:14" x14ac:dyDescent="0.4">
      <c r="N305" s="43"/>
    </row>
    <row r="306" spans="14:14" x14ac:dyDescent="0.4">
      <c r="N306" s="43"/>
    </row>
    <row r="307" spans="14:14" x14ac:dyDescent="0.4">
      <c r="N307" s="43"/>
    </row>
    <row r="308" spans="14:14" x14ac:dyDescent="0.4">
      <c r="N308" s="43"/>
    </row>
    <row r="309" spans="14:14" x14ac:dyDescent="0.4">
      <c r="N309" s="43"/>
    </row>
    <row r="310" spans="14:14" x14ac:dyDescent="0.4">
      <c r="N310" s="43"/>
    </row>
    <row r="311" spans="14:14" x14ac:dyDescent="0.4">
      <c r="N311" s="43"/>
    </row>
    <row r="312" spans="14:14" x14ac:dyDescent="0.4">
      <c r="N312" s="43"/>
    </row>
    <row r="313" spans="14:14" x14ac:dyDescent="0.4">
      <c r="N313" s="43"/>
    </row>
    <row r="314" spans="14:14" x14ac:dyDescent="0.4">
      <c r="N314" s="43"/>
    </row>
    <row r="315" spans="14:14" x14ac:dyDescent="0.4">
      <c r="N315" s="43"/>
    </row>
    <row r="316" spans="14:14" x14ac:dyDescent="0.4">
      <c r="N316" s="43"/>
    </row>
    <row r="317" spans="14:14" x14ac:dyDescent="0.4">
      <c r="N317" s="43"/>
    </row>
    <row r="318" spans="14:14" x14ac:dyDescent="0.4">
      <c r="N318" s="43"/>
    </row>
    <row r="319" spans="14:14" x14ac:dyDescent="0.4">
      <c r="N319" s="43"/>
    </row>
    <row r="320" spans="14:14" x14ac:dyDescent="0.4">
      <c r="N320" s="43"/>
    </row>
    <row r="321" spans="14:14" x14ac:dyDescent="0.4">
      <c r="N321" s="43"/>
    </row>
    <row r="322" spans="14:14" x14ac:dyDescent="0.4">
      <c r="N322" s="43"/>
    </row>
    <row r="323" spans="14:14" x14ac:dyDescent="0.4">
      <c r="N323" s="43"/>
    </row>
    <row r="324" spans="14:14" x14ac:dyDescent="0.4">
      <c r="N324" s="43"/>
    </row>
    <row r="325" spans="14:14" x14ac:dyDescent="0.4">
      <c r="N325" s="43"/>
    </row>
    <row r="326" spans="14:14" x14ac:dyDescent="0.4">
      <c r="N326" s="43"/>
    </row>
    <row r="327" spans="14:14" x14ac:dyDescent="0.4">
      <c r="N327" s="43"/>
    </row>
    <row r="328" spans="14:14" x14ac:dyDescent="0.4">
      <c r="N328" s="43"/>
    </row>
    <row r="329" spans="14:14" x14ac:dyDescent="0.4">
      <c r="N329" s="43"/>
    </row>
    <row r="330" spans="14:14" x14ac:dyDescent="0.4">
      <c r="N330" s="43"/>
    </row>
    <row r="331" spans="14:14" x14ac:dyDescent="0.4">
      <c r="N331" s="43"/>
    </row>
    <row r="332" spans="14:14" x14ac:dyDescent="0.4">
      <c r="N332" s="43"/>
    </row>
    <row r="333" spans="14:14" x14ac:dyDescent="0.4">
      <c r="N333" s="43"/>
    </row>
    <row r="334" spans="14:14" x14ac:dyDescent="0.4">
      <c r="N334" s="43"/>
    </row>
    <row r="335" spans="14:14" x14ac:dyDescent="0.4">
      <c r="N335" s="43"/>
    </row>
    <row r="336" spans="14:14" x14ac:dyDescent="0.4">
      <c r="N336" s="43"/>
    </row>
    <row r="337" spans="14:14" x14ac:dyDescent="0.4">
      <c r="N337" s="43"/>
    </row>
    <row r="338" spans="14:14" x14ac:dyDescent="0.4">
      <c r="N338" s="43"/>
    </row>
    <row r="339" spans="14:14" x14ac:dyDescent="0.4">
      <c r="N339" s="43"/>
    </row>
    <row r="340" spans="14:14" x14ac:dyDescent="0.4">
      <c r="N340" s="43"/>
    </row>
    <row r="341" spans="14:14" x14ac:dyDescent="0.4">
      <c r="N341" s="43"/>
    </row>
    <row r="342" spans="14:14" x14ac:dyDescent="0.4">
      <c r="N342" s="43"/>
    </row>
    <row r="343" spans="14:14" x14ac:dyDescent="0.4">
      <c r="N343" s="43"/>
    </row>
    <row r="344" spans="14:14" x14ac:dyDescent="0.4">
      <c r="N344" s="43"/>
    </row>
    <row r="345" spans="14:14" x14ac:dyDescent="0.4">
      <c r="N345" s="43"/>
    </row>
    <row r="346" spans="14:14" x14ac:dyDescent="0.4">
      <c r="N346" s="43"/>
    </row>
    <row r="347" spans="14:14" x14ac:dyDescent="0.4">
      <c r="N347" s="43"/>
    </row>
    <row r="348" spans="14:14" x14ac:dyDescent="0.4">
      <c r="N348" s="43"/>
    </row>
    <row r="349" spans="14:14" x14ac:dyDescent="0.4">
      <c r="N349" s="43"/>
    </row>
    <row r="350" spans="14:14" x14ac:dyDescent="0.4">
      <c r="N350" s="43"/>
    </row>
    <row r="351" spans="14:14" x14ac:dyDescent="0.4">
      <c r="N351" s="43"/>
    </row>
    <row r="352" spans="14:14" x14ac:dyDescent="0.4">
      <c r="N352" s="43"/>
    </row>
    <row r="353" spans="14:14" x14ac:dyDescent="0.4">
      <c r="N353" s="43"/>
    </row>
    <row r="354" spans="14:14" x14ac:dyDescent="0.4">
      <c r="N354" s="43"/>
    </row>
    <row r="355" spans="14:14" x14ac:dyDescent="0.4">
      <c r="N355" s="43"/>
    </row>
    <row r="356" spans="14:14" x14ac:dyDescent="0.4">
      <c r="N356" s="43"/>
    </row>
    <row r="357" spans="14:14" x14ac:dyDescent="0.4">
      <c r="N357" s="43"/>
    </row>
    <row r="358" spans="14:14" x14ac:dyDescent="0.4">
      <c r="N358" s="43"/>
    </row>
    <row r="359" spans="14:14" x14ac:dyDescent="0.4">
      <c r="N359" s="43"/>
    </row>
    <row r="360" spans="14:14" x14ac:dyDescent="0.4">
      <c r="N360" s="43"/>
    </row>
    <row r="361" spans="14:14" x14ac:dyDescent="0.4">
      <c r="N361" s="43"/>
    </row>
    <row r="362" spans="14:14" x14ac:dyDescent="0.4">
      <c r="N362" s="43"/>
    </row>
    <row r="363" spans="14:14" x14ac:dyDescent="0.4">
      <c r="N363" s="43"/>
    </row>
    <row r="364" spans="14:14" x14ac:dyDescent="0.4">
      <c r="N364" s="43"/>
    </row>
    <row r="365" spans="14:14" x14ac:dyDescent="0.4">
      <c r="N365" s="43"/>
    </row>
    <row r="366" spans="14:14" x14ac:dyDescent="0.4">
      <c r="N366" s="43"/>
    </row>
    <row r="367" spans="14:14" x14ac:dyDescent="0.4">
      <c r="N367" s="43"/>
    </row>
    <row r="368" spans="14:14" x14ac:dyDescent="0.4">
      <c r="N368" s="43"/>
    </row>
    <row r="369" spans="14:14" x14ac:dyDescent="0.4">
      <c r="N369" s="43"/>
    </row>
    <row r="370" spans="14:14" x14ac:dyDescent="0.4">
      <c r="N370" s="43"/>
    </row>
    <row r="371" spans="14:14" x14ac:dyDescent="0.4">
      <c r="N371" s="43"/>
    </row>
    <row r="372" spans="14:14" x14ac:dyDescent="0.4">
      <c r="N372" s="43"/>
    </row>
    <row r="373" spans="14:14" x14ac:dyDescent="0.4">
      <c r="N373" s="43"/>
    </row>
    <row r="374" spans="14:14" x14ac:dyDescent="0.4">
      <c r="N374" s="43"/>
    </row>
    <row r="375" spans="14:14" x14ac:dyDescent="0.4">
      <c r="N375" s="43"/>
    </row>
    <row r="376" spans="14:14" x14ac:dyDescent="0.4">
      <c r="N376" s="43"/>
    </row>
    <row r="377" spans="14:14" x14ac:dyDescent="0.4">
      <c r="N377" s="43"/>
    </row>
    <row r="378" spans="14:14" x14ac:dyDescent="0.4">
      <c r="N378" s="43"/>
    </row>
    <row r="379" spans="14:14" x14ac:dyDescent="0.4">
      <c r="N379" s="43"/>
    </row>
    <row r="380" spans="14:14" x14ac:dyDescent="0.4">
      <c r="N380" s="43"/>
    </row>
    <row r="381" spans="14:14" x14ac:dyDescent="0.4">
      <c r="N381" s="43"/>
    </row>
    <row r="382" spans="14:14" x14ac:dyDescent="0.4">
      <c r="N382" s="43"/>
    </row>
    <row r="383" spans="14:14" x14ac:dyDescent="0.4">
      <c r="N383" s="43"/>
    </row>
    <row r="384" spans="14:14" x14ac:dyDescent="0.4">
      <c r="N384" s="43"/>
    </row>
    <row r="385" spans="14:14" x14ac:dyDescent="0.4">
      <c r="N385" s="43"/>
    </row>
    <row r="386" spans="14:14" x14ac:dyDescent="0.4">
      <c r="N386" s="43"/>
    </row>
    <row r="387" spans="14:14" x14ac:dyDescent="0.4">
      <c r="N387" s="43"/>
    </row>
    <row r="388" spans="14:14" x14ac:dyDescent="0.4">
      <c r="N388" s="43"/>
    </row>
    <row r="389" spans="14:14" x14ac:dyDescent="0.4">
      <c r="N389" s="43"/>
    </row>
    <row r="390" spans="14:14" x14ac:dyDescent="0.4">
      <c r="N390" s="43"/>
    </row>
    <row r="391" spans="14:14" x14ac:dyDescent="0.4">
      <c r="N391" s="43"/>
    </row>
    <row r="392" spans="14:14" x14ac:dyDescent="0.4">
      <c r="N392" s="43"/>
    </row>
    <row r="393" spans="14:14" x14ac:dyDescent="0.4">
      <c r="N393" s="43"/>
    </row>
    <row r="394" spans="14:14" x14ac:dyDescent="0.4">
      <c r="N394" s="43"/>
    </row>
    <row r="395" spans="14:14" x14ac:dyDescent="0.4">
      <c r="N395" s="43"/>
    </row>
    <row r="396" spans="14:14" x14ac:dyDescent="0.4">
      <c r="N396" s="43"/>
    </row>
    <row r="397" spans="14:14" x14ac:dyDescent="0.4">
      <c r="N397" s="43"/>
    </row>
    <row r="398" spans="14:14" x14ac:dyDescent="0.4">
      <c r="N398" s="43"/>
    </row>
    <row r="399" spans="14:14" x14ac:dyDescent="0.4">
      <c r="N399" s="43"/>
    </row>
    <row r="400" spans="14:14" x14ac:dyDescent="0.4">
      <c r="N400" s="43"/>
    </row>
    <row r="401" spans="14:14" x14ac:dyDescent="0.4">
      <c r="N401" s="43"/>
    </row>
    <row r="402" spans="14:14" x14ac:dyDescent="0.4">
      <c r="N402" s="43"/>
    </row>
    <row r="403" spans="14:14" x14ac:dyDescent="0.4">
      <c r="N403" s="43"/>
    </row>
    <row r="404" spans="14:14" x14ac:dyDescent="0.4">
      <c r="N404" s="43"/>
    </row>
    <row r="405" spans="14:14" x14ac:dyDescent="0.4">
      <c r="N405" s="43"/>
    </row>
    <row r="406" spans="14:14" x14ac:dyDescent="0.4">
      <c r="N406" s="43"/>
    </row>
    <row r="407" spans="14:14" x14ac:dyDescent="0.4">
      <c r="N407" s="43"/>
    </row>
    <row r="408" spans="14:14" x14ac:dyDescent="0.4">
      <c r="N408" s="43"/>
    </row>
    <row r="409" spans="14:14" x14ac:dyDescent="0.4">
      <c r="N409" s="43"/>
    </row>
    <row r="410" spans="14:14" x14ac:dyDescent="0.4">
      <c r="N410" s="43"/>
    </row>
    <row r="411" spans="14:14" x14ac:dyDescent="0.4">
      <c r="N411" s="43"/>
    </row>
    <row r="412" spans="14:14" x14ac:dyDescent="0.4">
      <c r="N412" s="43"/>
    </row>
    <row r="413" spans="14:14" x14ac:dyDescent="0.4">
      <c r="N413" s="43"/>
    </row>
    <row r="414" spans="14:14" x14ac:dyDescent="0.4">
      <c r="N414" s="43"/>
    </row>
    <row r="415" spans="14:14" x14ac:dyDescent="0.4">
      <c r="N415" s="43"/>
    </row>
    <row r="416" spans="14:14" x14ac:dyDescent="0.4">
      <c r="N416" s="43"/>
    </row>
    <row r="417" spans="14:14" x14ac:dyDescent="0.4">
      <c r="N417" s="43"/>
    </row>
    <row r="418" spans="14:14" x14ac:dyDescent="0.4">
      <c r="N418" s="43"/>
    </row>
    <row r="419" spans="14:14" x14ac:dyDescent="0.4">
      <c r="N419" s="43"/>
    </row>
    <row r="420" spans="14:14" x14ac:dyDescent="0.4">
      <c r="N420" s="43"/>
    </row>
    <row r="421" spans="14:14" x14ac:dyDescent="0.4">
      <c r="N421" s="43"/>
    </row>
    <row r="422" spans="14:14" x14ac:dyDescent="0.4">
      <c r="N422" s="43"/>
    </row>
    <row r="423" spans="14:14" x14ac:dyDescent="0.4">
      <c r="N423" s="43"/>
    </row>
    <row r="424" spans="14:14" x14ac:dyDescent="0.4">
      <c r="N424" s="43"/>
    </row>
    <row r="425" spans="14:14" x14ac:dyDescent="0.4">
      <c r="N425" s="43"/>
    </row>
    <row r="426" spans="14:14" x14ac:dyDescent="0.4">
      <c r="N426" s="43"/>
    </row>
    <row r="427" spans="14:14" x14ac:dyDescent="0.4">
      <c r="N427" s="43"/>
    </row>
    <row r="428" spans="14:14" x14ac:dyDescent="0.4">
      <c r="N428" s="43"/>
    </row>
    <row r="429" spans="14:14" x14ac:dyDescent="0.4">
      <c r="N429" s="43"/>
    </row>
    <row r="430" spans="14:14" x14ac:dyDescent="0.4">
      <c r="N430" s="43"/>
    </row>
    <row r="431" spans="14:14" x14ac:dyDescent="0.4">
      <c r="N431" s="43"/>
    </row>
    <row r="432" spans="14:14" x14ac:dyDescent="0.4">
      <c r="N432" s="43"/>
    </row>
    <row r="433" spans="14:14" x14ac:dyDescent="0.4">
      <c r="N433" s="43"/>
    </row>
    <row r="434" spans="14:14" x14ac:dyDescent="0.4">
      <c r="N434" s="43"/>
    </row>
    <row r="435" spans="14:14" x14ac:dyDescent="0.4">
      <c r="N435" s="43"/>
    </row>
    <row r="436" spans="14:14" x14ac:dyDescent="0.4">
      <c r="N436" s="43"/>
    </row>
    <row r="437" spans="14:14" x14ac:dyDescent="0.4">
      <c r="N437" s="43"/>
    </row>
    <row r="438" spans="14:14" x14ac:dyDescent="0.4">
      <c r="N438" s="43"/>
    </row>
    <row r="439" spans="14:14" x14ac:dyDescent="0.4">
      <c r="N439" s="43"/>
    </row>
    <row r="440" spans="14:14" x14ac:dyDescent="0.4">
      <c r="N440" s="43"/>
    </row>
    <row r="441" spans="14:14" x14ac:dyDescent="0.4">
      <c r="N441" s="43"/>
    </row>
    <row r="442" spans="14:14" x14ac:dyDescent="0.4">
      <c r="N442" s="43"/>
    </row>
    <row r="443" spans="14:14" x14ac:dyDescent="0.4">
      <c r="N443" s="43"/>
    </row>
    <row r="444" spans="14:14" x14ac:dyDescent="0.4">
      <c r="N444" s="43"/>
    </row>
    <row r="445" spans="14:14" x14ac:dyDescent="0.4">
      <c r="N445" s="43"/>
    </row>
    <row r="446" spans="14:14" x14ac:dyDescent="0.4">
      <c r="N446" s="43"/>
    </row>
    <row r="447" spans="14:14" x14ac:dyDescent="0.4">
      <c r="N447" s="43"/>
    </row>
    <row r="448" spans="14:14" x14ac:dyDescent="0.4">
      <c r="N448" s="43"/>
    </row>
    <row r="449" spans="14:14" x14ac:dyDescent="0.4">
      <c r="N449" s="43"/>
    </row>
    <row r="450" spans="14:14" x14ac:dyDescent="0.4">
      <c r="N450" s="43"/>
    </row>
    <row r="451" spans="14:14" x14ac:dyDescent="0.4">
      <c r="N451" s="43"/>
    </row>
    <row r="452" spans="14:14" x14ac:dyDescent="0.4">
      <c r="N452" s="43"/>
    </row>
    <row r="453" spans="14:14" x14ac:dyDescent="0.4">
      <c r="N453" s="43"/>
    </row>
    <row r="454" spans="14:14" x14ac:dyDescent="0.4">
      <c r="N454" s="43"/>
    </row>
    <row r="455" spans="14:14" x14ac:dyDescent="0.4">
      <c r="N455" s="43"/>
    </row>
    <row r="456" spans="14:14" x14ac:dyDescent="0.4">
      <c r="N456" s="43"/>
    </row>
    <row r="457" spans="14:14" x14ac:dyDescent="0.4">
      <c r="N457" s="43"/>
    </row>
    <row r="458" spans="14:14" x14ac:dyDescent="0.4">
      <c r="N458" s="43"/>
    </row>
    <row r="459" spans="14:14" x14ac:dyDescent="0.4">
      <c r="N459" s="43"/>
    </row>
    <row r="460" spans="14:14" x14ac:dyDescent="0.4">
      <c r="N460" s="43"/>
    </row>
    <row r="461" spans="14:14" x14ac:dyDescent="0.4">
      <c r="N461" s="43"/>
    </row>
    <row r="462" spans="14:14" x14ac:dyDescent="0.4">
      <c r="N462" s="43"/>
    </row>
    <row r="463" spans="14:14" x14ac:dyDescent="0.4">
      <c r="N463" s="43"/>
    </row>
    <row r="464" spans="14:14" x14ac:dyDescent="0.4">
      <c r="N464" s="43"/>
    </row>
    <row r="465" spans="14:14" x14ac:dyDescent="0.4">
      <c r="N465" s="43"/>
    </row>
    <row r="466" spans="14:14" x14ac:dyDescent="0.4">
      <c r="N466" s="43"/>
    </row>
    <row r="467" spans="14:14" x14ac:dyDescent="0.4">
      <c r="N467" s="43"/>
    </row>
    <row r="468" spans="14:14" x14ac:dyDescent="0.4">
      <c r="N468" s="43"/>
    </row>
    <row r="469" spans="14:14" x14ac:dyDescent="0.4">
      <c r="N469" s="43"/>
    </row>
    <row r="470" spans="14:14" x14ac:dyDescent="0.4">
      <c r="N470" s="43"/>
    </row>
    <row r="471" spans="14:14" x14ac:dyDescent="0.4">
      <c r="N471" s="43"/>
    </row>
    <row r="472" spans="14:14" x14ac:dyDescent="0.4">
      <c r="N472" s="43"/>
    </row>
    <row r="473" spans="14:14" x14ac:dyDescent="0.4">
      <c r="N473" s="43"/>
    </row>
    <row r="474" spans="14:14" x14ac:dyDescent="0.4">
      <c r="N474" s="43"/>
    </row>
    <row r="475" spans="14:14" x14ac:dyDescent="0.4">
      <c r="N475" s="43"/>
    </row>
    <row r="476" spans="14:14" x14ac:dyDescent="0.4">
      <c r="N476" s="43"/>
    </row>
    <row r="477" spans="14:14" x14ac:dyDescent="0.4">
      <c r="N477" s="43"/>
    </row>
    <row r="478" spans="14:14" x14ac:dyDescent="0.4">
      <c r="N478" s="43"/>
    </row>
    <row r="479" spans="14:14" x14ac:dyDescent="0.4">
      <c r="N479" s="43"/>
    </row>
    <row r="480" spans="14:14" x14ac:dyDescent="0.4">
      <c r="N480" s="43"/>
    </row>
    <row r="481" spans="14:14" x14ac:dyDescent="0.4">
      <c r="N481" s="43"/>
    </row>
    <row r="482" spans="14:14" x14ac:dyDescent="0.4">
      <c r="N482" s="43"/>
    </row>
    <row r="483" spans="14:14" x14ac:dyDescent="0.4">
      <c r="N483" s="43"/>
    </row>
    <row r="484" spans="14:14" x14ac:dyDescent="0.4">
      <c r="N484" s="43"/>
    </row>
    <row r="485" spans="14:14" x14ac:dyDescent="0.4">
      <c r="N485" s="43"/>
    </row>
    <row r="486" spans="14:14" x14ac:dyDescent="0.4">
      <c r="N486" s="43"/>
    </row>
    <row r="487" spans="14:14" x14ac:dyDescent="0.4">
      <c r="N487" s="43"/>
    </row>
    <row r="488" spans="14:14" x14ac:dyDescent="0.4">
      <c r="N488" s="43"/>
    </row>
    <row r="489" spans="14:14" x14ac:dyDescent="0.4">
      <c r="N489" s="43"/>
    </row>
    <row r="490" spans="14:14" x14ac:dyDescent="0.4">
      <c r="N490" s="43"/>
    </row>
    <row r="491" spans="14:14" x14ac:dyDescent="0.4">
      <c r="N491" s="43"/>
    </row>
    <row r="492" spans="14:14" x14ac:dyDescent="0.4">
      <c r="N492" s="43"/>
    </row>
    <row r="493" spans="14:14" x14ac:dyDescent="0.4">
      <c r="N493" s="43"/>
    </row>
    <row r="494" spans="14:14" x14ac:dyDescent="0.4">
      <c r="N494" s="43"/>
    </row>
    <row r="495" spans="14:14" x14ac:dyDescent="0.4">
      <c r="N495" s="43"/>
    </row>
    <row r="496" spans="14:14" x14ac:dyDescent="0.4">
      <c r="N496" s="43"/>
    </row>
    <row r="497" spans="14:14" x14ac:dyDescent="0.4">
      <c r="N497" s="43"/>
    </row>
    <row r="498" spans="14:14" x14ac:dyDescent="0.4">
      <c r="N498" s="43"/>
    </row>
    <row r="499" spans="14:14" x14ac:dyDescent="0.4">
      <c r="N499" s="43"/>
    </row>
    <row r="500" spans="14:14" x14ac:dyDescent="0.4">
      <c r="N500" s="43"/>
    </row>
    <row r="501" spans="14:14" x14ac:dyDescent="0.4">
      <c r="N501" s="43"/>
    </row>
    <row r="502" spans="14:14" x14ac:dyDescent="0.4">
      <c r="N502" s="43"/>
    </row>
    <row r="503" spans="14:14" x14ac:dyDescent="0.4">
      <c r="N503" s="43"/>
    </row>
    <row r="504" spans="14:14" x14ac:dyDescent="0.4">
      <c r="N504" s="43"/>
    </row>
    <row r="505" spans="14:14" x14ac:dyDescent="0.4">
      <c r="N505" s="43"/>
    </row>
    <row r="506" spans="14:14" x14ac:dyDescent="0.4">
      <c r="N506" s="43"/>
    </row>
    <row r="507" spans="14:14" x14ac:dyDescent="0.4">
      <c r="N507" s="43"/>
    </row>
    <row r="508" spans="14:14" x14ac:dyDescent="0.4">
      <c r="N508" s="43"/>
    </row>
    <row r="509" spans="14:14" x14ac:dyDescent="0.4">
      <c r="N509" s="43"/>
    </row>
    <row r="510" spans="14:14" x14ac:dyDescent="0.4">
      <c r="N510" s="43"/>
    </row>
    <row r="511" spans="14:14" x14ac:dyDescent="0.4">
      <c r="N511" s="43"/>
    </row>
    <row r="512" spans="14:14" x14ac:dyDescent="0.4">
      <c r="N512" s="43"/>
    </row>
    <row r="513" spans="14:14" x14ac:dyDescent="0.4">
      <c r="N513" s="43"/>
    </row>
    <row r="514" spans="14:14" x14ac:dyDescent="0.4">
      <c r="N514" s="43"/>
    </row>
    <row r="515" spans="14:14" x14ac:dyDescent="0.4">
      <c r="N515" s="43"/>
    </row>
    <row r="516" spans="14:14" x14ac:dyDescent="0.4">
      <c r="N516" s="43"/>
    </row>
    <row r="517" spans="14:14" x14ac:dyDescent="0.4">
      <c r="N517" s="43"/>
    </row>
    <row r="518" spans="14:14" x14ac:dyDescent="0.4">
      <c r="N518" s="43"/>
    </row>
    <row r="519" spans="14:14" x14ac:dyDescent="0.4">
      <c r="N519" s="43"/>
    </row>
    <row r="520" spans="14:14" x14ac:dyDescent="0.4">
      <c r="N520" s="43"/>
    </row>
    <row r="521" spans="14:14" x14ac:dyDescent="0.4">
      <c r="N521" s="43"/>
    </row>
    <row r="522" spans="14:14" x14ac:dyDescent="0.4">
      <c r="N522" s="43"/>
    </row>
    <row r="523" spans="14:14" x14ac:dyDescent="0.4">
      <c r="N523" s="43"/>
    </row>
    <row r="524" spans="14:14" x14ac:dyDescent="0.4">
      <c r="N524" s="43"/>
    </row>
    <row r="525" spans="14:14" x14ac:dyDescent="0.4">
      <c r="N525" s="43"/>
    </row>
    <row r="526" spans="14:14" x14ac:dyDescent="0.4">
      <c r="N526" s="43"/>
    </row>
    <row r="527" spans="14:14" x14ac:dyDescent="0.4">
      <c r="N527" s="43"/>
    </row>
    <row r="528" spans="14:14" x14ac:dyDescent="0.4">
      <c r="N528" s="43"/>
    </row>
    <row r="529" spans="14:14" x14ac:dyDescent="0.4">
      <c r="N529" s="43"/>
    </row>
    <row r="530" spans="14:14" x14ac:dyDescent="0.4">
      <c r="N530" s="43"/>
    </row>
    <row r="531" spans="14:14" x14ac:dyDescent="0.4">
      <c r="N531" s="43"/>
    </row>
    <row r="532" spans="14:14" x14ac:dyDescent="0.4">
      <c r="N532" s="43"/>
    </row>
    <row r="533" spans="14:14" x14ac:dyDescent="0.4">
      <c r="N533" s="43"/>
    </row>
    <row r="534" spans="14:14" x14ac:dyDescent="0.4">
      <c r="N534" s="43"/>
    </row>
    <row r="535" spans="14:14" x14ac:dyDescent="0.4">
      <c r="N535" s="43"/>
    </row>
    <row r="536" spans="14:14" x14ac:dyDescent="0.4">
      <c r="N536" s="43"/>
    </row>
    <row r="537" spans="14:14" x14ac:dyDescent="0.4">
      <c r="N537" s="43"/>
    </row>
    <row r="538" spans="14:14" x14ac:dyDescent="0.4">
      <c r="N538" s="43"/>
    </row>
    <row r="539" spans="14:14" x14ac:dyDescent="0.4">
      <c r="N539" s="43"/>
    </row>
    <row r="540" spans="14:14" x14ac:dyDescent="0.4">
      <c r="N540" s="43"/>
    </row>
    <row r="541" spans="14:14" x14ac:dyDescent="0.4">
      <c r="N541" s="43"/>
    </row>
    <row r="542" spans="14:14" x14ac:dyDescent="0.4">
      <c r="N542" s="43"/>
    </row>
    <row r="543" spans="14:14" x14ac:dyDescent="0.4">
      <c r="N543" s="43"/>
    </row>
    <row r="544" spans="14:14" x14ac:dyDescent="0.4">
      <c r="N544" s="43"/>
    </row>
    <row r="545" spans="14:14" x14ac:dyDescent="0.4">
      <c r="N545" s="43"/>
    </row>
    <row r="546" spans="14:14" x14ac:dyDescent="0.4">
      <c r="N546" s="43"/>
    </row>
    <row r="547" spans="14:14" x14ac:dyDescent="0.4">
      <c r="N547" s="43"/>
    </row>
    <row r="548" spans="14:14" x14ac:dyDescent="0.4">
      <c r="N548" s="43"/>
    </row>
    <row r="549" spans="14:14" x14ac:dyDescent="0.4">
      <c r="N549" s="43"/>
    </row>
    <row r="550" spans="14:14" x14ac:dyDescent="0.4">
      <c r="N550" s="43"/>
    </row>
    <row r="551" spans="14:14" x14ac:dyDescent="0.4">
      <c r="N551" s="43"/>
    </row>
    <row r="552" spans="14:14" x14ac:dyDescent="0.4">
      <c r="N552" s="43"/>
    </row>
    <row r="553" spans="14:14" x14ac:dyDescent="0.4">
      <c r="N553" s="43"/>
    </row>
    <row r="554" spans="14:14" x14ac:dyDescent="0.4">
      <c r="N554" s="43"/>
    </row>
    <row r="555" spans="14:14" x14ac:dyDescent="0.4">
      <c r="N555" s="43"/>
    </row>
    <row r="556" spans="14:14" x14ac:dyDescent="0.4">
      <c r="N556" s="43"/>
    </row>
    <row r="557" spans="14:14" x14ac:dyDescent="0.4">
      <c r="N557" s="43"/>
    </row>
    <row r="558" spans="14:14" x14ac:dyDescent="0.4">
      <c r="N558" s="43"/>
    </row>
    <row r="559" spans="14:14" x14ac:dyDescent="0.4">
      <c r="N559" s="43"/>
    </row>
    <row r="560" spans="14:14" x14ac:dyDescent="0.4">
      <c r="N560" s="43"/>
    </row>
    <row r="561" spans="14:14" x14ac:dyDescent="0.4">
      <c r="N561" s="43"/>
    </row>
    <row r="562" spans="14:14" x14ac:dyDescent="0.4">
      <c r="N562" s="43"/>
    </row>
    <row r="563" spans="14:14" x14ac:dyDescent="0.4">
      <c r="N563" s="43"/>
    </row>
    <row r="564" spans="14:14" x14ac:dyDescent="0.4">
      <c r="N564" s="43"/>
    </row>
    <row r="565" spans="14:14" x14ac:dyDescent="0.4">
      <c r="N565" s="43"/>
    </row>
    <row r="566" spans="14:14" x14ac:dyDescent="0.4">
      <c r="N566" s="43"/>
    </row>
    <row r="567" spans="14:14" x14ac:dyDescent="0.4">
      <c r="N567" s="43"/>
    </row>
    <row r="568" spans="14:14" x14ac:dyDescent="0.4">
      <c r="N568" s="43"/>
    </row>
    <row r="569" spans="14:14" x14ac:dyDescent="0.4">
      <c r="N569" s="43"/>
    </row>
    <row r="570" spans="14:14" x14ac:dyDescent="0.4">
      <c r="N570" s="43"/>
    </row>
    <row r="571" spans="14:14" x14ac:dyDescent="0.4">
      <c r="N571" s="43"/>
    </row>
    <row r="572" spans="14:14" x14ac:dyDescent="0.4">
      <c r="N572" s="43"/>
    </row>
    <row r="573" spans="14:14" x14ac:dyDescent="0.4">
      <c r="N573" s="43"/>
    </row>
    <row r="574" spans="14:14" x14ac:dyDescent="0.4">
      <c r="N574" s="43"/>
    </row>
    <row r="575" spans="14:14" x14ac:dyDescent="0.4">
      <c r="N575" s="43"/>
    </row>
    <row r="576" spans="14:14" x14ac:dyDescent="0.4">
      <c r="N576" s="43"/>
    </row>
    <row r="577" spans="14:14" x14ac:dyDescent="0.4">
      <c r="N577" s="43"/>
    </row>
    <row r="578" spans="14:14" x14ac:dyDescent="0.4">
      <c r="N578" s="43"/>
    </row>
    <row r="579" spans="14:14" x14ac:dyDescent="0.4">
      <c r="N579" s="43"/>
    </row>
    <row r="580" spans="14:14" x14ac:dyDescent="0.4">
      <c r="N580" s="43"/>
    </row>
    <row r="581" spans="14:14" x14ac:dyDescent="0.4">
      <c r="N581" s="43"/>
    </row>
    <row r="582" spans="14:14" x14ac:dyDescent="0.4">
      <c r="N582" s="43"/>
    </row>
    <row r="583" spans="14:14" x14ac:dyDescent="0.4">
      <c r="N583" s="43"/>
    </row>
    <row r="584" spans="14:14" x14ac:dyDescent="0.4">
      <c r="N584" s="43"/>
    </row>
    <row r="585" spans="14:14" x14ac:dyDescent="0.4">
      <c r="N585" s="43"/>
    </row>
    <row r="586" spans="14:14" x14ac:dyDescent="0.4">
      <c r="N586" s="43"/>
    </row>
    <row r="587" spans="14:14" x14ac:dyDescent="0.4">
      <c r="N587" s="43"/>
    </row>
    <row r="588" spans="14:14" x14ac:dyDescent="0.4">
      <c r="N588" s="43"/>
    </row>
    <row r="589" spans="14:14" x14ac:dyDescent="0.4">
      <c r="N589" s="43"/>
    </row>
    <row r="590" spans="14:14" x14ac:dyDescent="0.4">
      <c r="N590" s="43"/>
    </row>
    <row r="591" spans="14:14" x14ac:dyDescent="0.4">
      <c r="N591" s="43"/>
    </row>
    <row r="592" spans="14:14" x14ac:dyDescent="0.4">
      <c r="N592" s="43"/>
    </row>
    <row r="593" spans="14:14" x14ac:dyDescent="0.4">
      <c r="N593" s="43"/>
    </row>
    <row r="594" spans="14:14" x14ac:dyDescent="0.4">
      <c r="N594" s="43"/>
    </row>
    <row r="595" spans="14:14" x14ac:dyDescent="0.4">
      <c r="N595" s="43"/>
    </row>
    <row r="596" spans="14:14" x14ac:dyDescent="0.4">
      <c r="N596" s="43"/>
    </row>
    <row r="597" spans="14:14" x14ac:dyDescent="0.4">
      <c r="N597" s="43"/>
    </row>
    <row r="598" spans="14:14" x14ac:dyDescent="0.4">
      <c r="N598" s="43"/>
    </row>
    <row r="599" spans="14:14" x14ac:dyDescent="0.4">
      <c r="N599" s="43"/>
    </row>
    <row r="600" spans="14:14" x14ac:dyDescent="0.4">
      <c r="N600" s="43"/>
    </row>
    <row r="601" spans="14:14" x14ac:dyDescent="0.4">
      <c r="N601" s="43"/>
    </row>
    <row r="602" spans="14:14" x14ac:dyDescent="0.4">
      <c r="N602" s="43"/>
    </row>
    <row r="603" spans="14:14" x14ac:dyDescent="0.4">
      <c r="N603" s="43"/>
    </row>
    <row r="604" spans="14:14" x14ac:dyDescent="0.4">
      <c r="N604" s="43"/>
    </row>
    <row r="605" spans="14:14" x14ac:dyDescent="0.4">
      <c r="N605" s="43"/>
    </row>
    <row r="606" spans="14:14" x14ac:dyDescent="0.4">
      <c r="N606" s="43"/>
    </row>
    <row r="607" spans="14:14" x14ac:dyDescent="0.4">
      <c r="N607" s="43"/>
    </row>
    <row r="608" spans="14:14" x14ac:dyDescent="0.4">
      <c r="N608" s="43"/>
    </row>
    <row r="609" spans="14:14" x14ac:dyDescent="0.4">
      <c r="N609" s="43"/>
    </row>
    <row r="610" spans="14:14" x14ac:dyDescent="0.4">
      <c r="N610" s="43"/>
    </row>
    <row r="611" spans="14:14" x14ac:dyDescent="0.4">
      <c r="N611" s="43"/>
    </row>
    <row r="612" spans="14:14" x14ac:dyDescent="0.4">
      <c r="N612" s="43"/>
    </row>
    <row r="613" spans="14:14" x14ac:dyDescent="0.4">
      <c r="N613" s="43"/>
    </row>
    <row r="614" spans="14:14" x14ac:dyDescent="0.4">
      <c r="N614" s="43"/>
    </row>
    <row r="615" spans="14:14" x14ac:dyDescent="0.4">
      <c r="N615" s="43"/>
    </row>
    <row r="616" spans="14:14" x14ac:dyDescent="0.4">
      <c r="N616" s="43"/>
    </row>
    <row r="617" spans="14:14" x14ac:dyDescent="0.4">
      <c r="N617" s="43"/>
    </row>
    <row r="618" spans="14:14" x14ac:dyDescent="0.4">
      <c r="N618" s="43"/>
    </row>
    <row r="619" spans="14:14" x14ac:dyDescent="0.4">
      <c r="N619" s="43"/>
    </row>
    <row r="620" spans="14:14" x14ac:dyDescent="0.4">
      <c r="N620" s="43"/>
    </row>
    <row r="621" spans="14:14" x14ac:dyDescent="0.4">
      <c r="N621" s="43"/>
    </row>
    <row r="622" spans="14:14" x14ac:dyDescent="0.4">
      <c r="N622" s="43"/>
    </row>
    <row r="623" spans="14:14" x14ac:dyDescent="0.4">
      <c r="N623" s="43"/>
    </row>
    <row r="624" spans="14:14" x14ac:dyDescent="0.4">
      <c r="N624" s="43"/>
    </row>
    <row r="625" spans="14:14" x14ac:dyDescent="0.4">
      <c r="N625" s="43"/>
    </row>
    <row r="626" spans="14:14" x14ac:dyDescent="0.4">
      <c r="N626" s="43"/>
    </row>
    <row r="627" spans="14:14" x14ac:dyDescent="0.4">
      <c r="N627" s="43"/>
    </row>
    <row r="628" spans="14:14" x14ac:dyDescent="0.4">
      <c r="N628" s="43"/>
    </row>
    <row r="629" spans="14:14" x14ac:dyDescent="0.4">
      <c r="N629" s="43"/>
    </row>
    <row r="630" spans="14:14" x14ac:dyDescent="0.4">
      <c r="N630" s="43"/>
    </row>
    <row r="631" spans="14:14" x14ac:dyDescent="0.4">
      <c r="N631" s="43"/>
    </row>
    <row r="632" spans="14:14" x14ac:dyDescent="0.4">
      <c r="N632" s="43"/>
    </row>
    <row r="633" spans="14:14" x14ac:dyDescent="0.4">
      <c r="N633" s="43"/>
    </row>
    <row r="634" spans="14:14" x14ac:dyDescent="0.4">
      <c r="N634" s="43"/>
    </row>
    <row r="635" spans="14:14" x14ac:dyDescent="0.4">
      <c r="N635" s="43"/>
    </row>
    <row r="636" spans="14:14" x14ac:dyDescent="0.4">
      <c r="N636" s="43"/>
    </row>
    <row r="637" spans="14:14" x14ac:dyDescent="0.4">
      <c r="N637" s="43"/>
    </row>
    <row r="638" spans="14:14" x14ac:dyDescent="0.4">
      <c r="N638" s="43"/>
    </row>
    <row r="639" spans="14:14" x14ac:dyDescent="0.4">
      <c r="N639" s="43"/>
    </row>
    <row r="640" spans="14:14" x14ac:dyDescent="0.4">
      <c r="N640" s="43"/>
    </row>
    <row r="641" spans="14:14" x14ac:dyDescent="0.4">
      <c r="N641" s="43"/>
    </row>
    <row r="642" spans="14:14" x14ac:dyDescent="0.4">
      <c r="N642" s="43"/>
    </row>
    <row r="643" spans="14:14" x14ac:dyDescent="0.4">
      <c r="N643" s="43"/>
    </row>
    <row r="644" spans="14:14" x14ac:dyDescent="0.4">
      <c r="N644" s="43"/>
    </row>
    <row r="645" spans="14:14" x14ac:dyDescent="0.4">
      <c r="N645" s="43"/>
    </row>
    <row r="646" spans="14:14" x14ac:dyDescent="0.4">
      <c r="N646" s="43"/>
    </row>
    <row r="647" spans="14:14" x14ac:dyDescent="0.4">
      <c r="N647" s="43"/>
    </row>
    <row r="648" spans="14:14" x14ac:dyDescent="0.4">
      <c r="N648" s="43"/>
    </row>
    <row r="649" spans="14:14" x14ac:dyDescent="0.4">
      <c r="N649" s="43"/>
    </row>
    <row r="650" spans="14:14" x14ac:dyDescent="0.4">
      <c r="N650" s="43"/>
    </row>
    <row r="651" spans="14:14" x14ac:dyDescent="0.4">
      <c r="N651" s="43"/>
    </row>
    <row r="652" spans="14:14" x14ac:dyDescent="0.4">
      <c r="N652" s="43"/>
    </row>
    <row r="653" spans="14:14" x14ac:dyDescent="0.4">
      <c r="N653" s="43"/>
    </row>
    <row r="654" spans="14:14" x14ac:dyDescent="0.4">
      <c r="N654" s="43"/>
    </row>
    <row r="655" spans="14:14" x14ac:dyDescent="0.4">
      <c r="N655" s="43"/>
    </row>
    <row r="656" spans="14:14" x14ac:dyDescent="0.4">
      <c r="N656" s="43"/>
    </row>
    <row r="657" spans="14:14" x14ac:dyDescent="0.4">
      <c r="N657" s="43"/>
    </row>
    <row r="658" spans="14:14" x14ac:dyDescent="0.4">
      <c r="N658" s="43"/>
    </row>
    <row r="659" spans="14:14" x14ac:dyDescent="0.4">
      <c r="N659" s="43"/>
    </row>
    <row r="660" spans="14:14" x14ac:dyDescent="0.4">
      <c r="N660" s="43"/>
    </row>
    <row r="661" spans="14:14" x14ac:dyDescent="0.4">
      <c r="N661" s="43"/>
    </row>
    <row r="662" spans="14:14" x14ac:dyDescent="0.4">
      <c r="N662" s="43"/>
    </row>
    <row r="663" spans="14:14" x14ac:dyDescent="0.4">
      <c r="N663" s="43"/>
    </row>
    <row r="664" spans="14:14" x14ac:dyDescent="0.4">
      <c r="N664" s="43"/>
    </row>
    <row r="665" spans="14:14" x14ac:dyDescent="0.4">
      <c r="N665" s="43"/>
    </row>
    <row r="666" spans="14:14" x14ac:dyDescent="0.4">
      <c r="N666" s="43"/>
    </row>
    <row r="667" spans="14:14" x14ac:dyDescent="0.4">
      <c r="N667" s="43"/>
    </row>
    <row r="668" spans="14:14" x14ac:dyDescent="0.4">
      <c r="N668" s="43"/>
    </row>
    <row r="669" spans="14:14" x14ac:dyDescent="0.4">
      <c r="N669" s="43"/>
    </row>
    <row r="670" spans="14:14" x14ac:dyDescent="0.4">
      <c r="N670" s="43"/>
    </row>
    <row r="671" spans="14:14" x14ac:dyDescent="0.4">
      <c r="N671" s="43"/>
    </row>
    <row r="672" spans="14:14" x14ac:dyDescent="0.4">
      <c r="N672" s="43"/>
    </row>
    <row r="673" spans="14:14" x14ac:dyDescent="0.4">
      <c r="N673" s="43"/>
    </row>
    <row r="674" spans="14:14" x14ac:dyDescent="0.4">
      <c r="N674" s="43"/>
    </row>
    <row r="675" spans="14:14" x14ac:dyDescent="0.4">
      <c r="N675" s="43"/>
    </row>
    <row r="676" spans="14:14" x14ac:dyDescent="0.4">
      <c r="N676" s="43"/>
    </row>
    <row r="677" spans="14:14" x14ac:dyDescent="0.4">
      <c r="N677" s="43"/>
    </row>
    <row r="678" spans="14:14" x14ac:dyDescent="0.4">
      <c r="N678" s="43"/>
    </row>
    <row r="679" spans="14:14" x14ac:dyDescent="0.4">
      <c r="N679" s="43"/>
    </row>
    <row r="680" spans="14:14" x14ac:dyDescent="0.4">
      <c r="N680" s="43"/>
    </row>
    <row r="681" spans="14:14" x14ac:dyDescent="0.4">
      <c r="N681" s="43"/>
    </row>
    <row r="682" spans="14:14" x14ac:dyDescent="0.4">
      <c r="N682" s="43"/>
    </row>
    <row r="683" spans="14:14" x14ac:dyDescent="0.4">
      <c r="N683" s="43"/>
    </row>
    <row r="684" spans="14:14" x14ac:dyDescent="0.4">
      <c r="N684" s="43"/>
    </row>
    <row r="685" spans="14:14" x14ac:dyDescent="0.4">
      <c r="N685" s="43"/>
    </row>
    <row r="686" spans="14:14" x14ac:dyDescent="0.4">
      <c r="N686" s="43"/>
    </row>
    <row r="687" spans="14:14" x14ac:dyDescent="0.4">
      <c r="N687" s="43"/>
    </row>
    <row r="688" spans="14:14" x14ac:dyDescent="0.4">
      <c r="N688" s="43"/>
    </row>
    <row r="689" spans="14:14" x14ac:dyDescent="0.4">
      <c r="N689" s="43"/>
    </row>
    <row r="690" spans="14:14" x14ac:dyDescent="0.4">
      <c r="N690" s="43"/>
    </row>
    <row r="691" spans="14:14" x14ac:dyDescent="0.4">
      <c r="N691" s="43"/>
    </row>
    <row r="692" spans="14:14" x14ac:dyDescent="0.4">
      <c r="N692" s="43"/>
    </row>
    <row r="693" spans="14:14" x14ac:dyDescent="0.4">
      <c r="N693" s="43"/>
    </row>
    <row r="694" spans="14:14" x14ac:dyDescent="0.4">
      <c r="N694" s="43"/>
    </row>
    <row r="695" spans="14:14" x14ac:dyDescent="0.4">
      <c r="N695" s="43"/>
    </row>
    <row r="696" spans="14:14" x14ac:dyDescent="0.4">
      <c r="N696" s="43"/>
    </row>
    <row r="697" spans="14:14" x14ac:dyDescent="0.4">
      <c r="N697" s="43"/>
    </row>
    <row r="698" spans="14:14" x14ac:dyDescent="0.4">
      <c r="N698" s="43"/>
    </row>
    <row r="699" spans="14:14" x14ac:dyDescent="0.4">
      <c r="N699" s="43"/>
    </row>
    <row r="700" spans="14:14" x14ac:dyDescent="0.4">
      <c r="N700" s="43"/>
    </row>
    <row r="701" spans="14:14" x14ac:dyDescent="0.4">
      <c r="N701" s="43"/>
    </row>
    <row r="702" spans="14:14" x14ac:dyDescent="0.4">
      <c r="N702" s="43"/>
    </row>
    <row r="703" spans="14:14" x14ac:dyDescent="0.4">
      <c r="N703" s="43"/>
    </row>
    <row r="704" spans="14:14" x14ac:dyDescent="0.4">
      <c r="N704" s="43"/>
    </row>
    <row r="705" spans="14:14" x14ac:dyDescent="0.4">
      <c r="N705" s="43"/>
    </row>
    <row r="706" spans="14:14" x14ac:dyDescent="0.4">
      <c r="N706" s="43"/>
    </row>
    <row r="707" spans="14:14" x14ac:dyDescent="0.4">
      <c r="N707" s="43"/>
    </row>
    <row r="708" spans="14:14" x14ac:dyDescent="0.4">
      <c r="N708" s="43"/>
    </row>
    <row r="709" spans="14:14" x14ac:dyDescent="0.4">
      <c r="N709" s="43"/>
    </row>
    <row r="710" spans="14:14" x14ac:dyDescent="0.4">
      <c r="N710" s="43"/>
    </row>
    <row r="711" spans="14:14" x14ac:dyDescent="0.4">
      <c r="N711" s="43"/>
    </row>
    <row r="712" spans="14:14" x14ac:dyDescent="0.4">
      <c r="N712" s="43"/>
    </row>
    <row r="713" spans="14:14" x14ac:dyDescent="0.4">
      <c r="N713" s="43"/>
    </row>
    <row r="714" spans="14:14" x14ac:dyDescent="0.4">
      <c r="N714" s="43"/>
    </row>
    <row r="715" spans="14:14" x14ac:dyDescent="0.4">
      <c r="N715" s="43"/>
    </row>
    <row r="716" spans="14:14" x14ac:dyDescent="0.4">
      <c r="N716" s="43"/>
    </row>
    <row r="717" spans="14:14" x14ac:dyDescent="0.4">
      <c r="N717" s="43"/>
    </row>
    <row r="718" spans="14:14" x14ac:dyDescent="0.4">
      <c r="N718" s="43"/>
    </row>
    <row r="719" spans="14:14" x14ac:dyDescent="0.4">
      <c r="N719" s="43"/>
    </row>
    <row r="720" spans="14:14" x14ac:dyDescent="0.4">
      <c r="N720" s="43"/>
    </row>
    <row r="721" spans="14:14" x14ac:dyDescent="0.4">
      <c r="N721" s="43"/>
    </row>
    <row r="722" spans="14:14" x14ac:dyDescent="0.4">
      <c r="N722" s="43"/>
    </row>
    <row r="723" spans="14:14" x14ac:dyDescent="0.4">
      <c r="N723" s="43"/>
    </row>
    <row r="724" spans="14:14" x14ac:dyDescent="0.4">
      <c r="N724" s="43"/>
    </row>
    <row r="725" spans="14:14" x14ac:dyDescent="0.4">
      <c r="N725" s="43"/>
    </row>
    <row r="726" spans="14:14" x14ac:dyDescent="0.4">
      <c r="N726" s="43"/>
    </row>
    <row r="727" spans="14:14" x14ac:dyDescent="0.4">
      <c r="N727" s="43"/>
    </row>
    <row r="728" spans="14:14" x14ac:dyDescent="0.4">
      <c r="N728" s="43"/>
    </row>
    <row r="729" spans="14:14" x14ac:dyDescent="0.4">
      <c r="N729" s="43"/>
    </row>
    <row r="730" spans="14:14" x14ac:dyDescent="0.4">
      <c r="N730" s="43"/>
    </row>
    <row r="731" spans="14:14" x14ac:dyDescent="0.4">
      <c r="N731" s="43"/>
    </row>
    <row r="732" spans="14:14" x14ac:dyDescent="0.4">
      <c r="N732" s="43"/>
    </row>
    <row r="733" spans="14:14" x14ac:dyDescent="0.4">
      <c r="N733" s="43"/>
    </row>
    <row r="734" spans="14:14" x14ac:dyDescent="0.4">
      <c r="N734" s="43"/>
    </row>
    <row r="735" spans="14:14" x14ac:dyDescent="0.4">
      <c r="N735" s="43"/>
    </row>
    <row r="736" spans="14:14" x14ac:dyDescent="0.4">
      <c r="N736" s="43"/>
    </row>
    <row r="737" spans="14:14" x14ac:dyDescent="0.4">
      <c r="N737" s="43"/>
    </row>
    <row r="738" spans="14:14" x14ac:dyDescent="0.4">
      <c r="N738" s="43"/>
    </row>
    <row r="739" spans="14:14" x14ac:dyDescent="0.4">
      <c r="N739" s="43"/>
    </row>
    <row r="740" spans="14:14" x14ac:dyDescent="0.4">
      <c r="N740" s="43"/>
    </row>
    <row r="741" spans="14:14" x14ac:dyDescent="0.4">
      <c r="N741" s="43"/>
    </row>
    <row r="742" spans="14:14" x14ac:dyDescent="0.4">
      <c r="N742" s="43"/>
    </row>
    <row r="743" spans="14:14" x14ac:dyDescent="0.4">
      <c r="N743" s="43"/>
    </row>
    <row r="744" spans="14:14" x14ac:dyDescent="0.4">
      <c r="N744" s="43"/>
    </row>
    <row r="745" spans="14:14" x14ac:dyDescent="0.4">
      <c r="N745" s="43"/>
    </row>
    <row r="746" spans="14:14" x14ac:dyDescent="0.4">
      <c r="N746" s="43"/>
    </row>
    <row r="747" spans="14:14" x14ac:dyDescent="0.4">
      <c r="N747" s="43"/>
    </row>
    <row r="748" spans="14:14" x14ac:dyDescent="0.4">
      <c r="N748" s="43"/>
    </row>
    <row r="749" spans="14:14" x14ac:dyDescent="0.4">
      <c r="N749" s="43"/>
    </row>
    <row r="750" spans="14:14" x14ac:dyDescent="0.4">
      <c r="N750" s="43"/>
    </row>
    <row r="751" spans="14:14" x14ac:dyDescent="0.4">
      <c r="N751" s="43"/>
    </row>
    <row r="752" spans="14:14" x14ac:dyDescent="0.4">
      <c r="N752" s="43"/>
    </row>
    <row r="753" spans="14:14" x14ac:dyDescent="0.4">
      <c r="N753" s="43"/>
    </row>
    <row r="754" spans="14:14" x14ac:dyDescent="0.4">
      <c r="N754" s="43"/>
    </row>
    <row r="755" spans="14:14" x14ac:dyDescent="0.4">
      <c r="N755" s="43"/>
    </row>
    <row r="756" spans="14:14" x14ac:dyDescent="0.4">
      <c r="N756" s="43"/>
    </row>
    <row r="757" spans="14:14" x14ac:dyDescent="0.4">
      <c r="N757" s="43"/>
    </row>
    <row r="758" spans="14:14" x14ac:dyDescent="0.4">
      <c r="N758" s="43"/>
    </row>
    <row r="759" spans="14:14" x14ac:dyDescent="0.4">
      <c r="N759" s="43"/>
    </row>
    <row r="760" spans="14:14" x14ac:dyDescent="0.4">
      <c r="N760" s="43"/>
    </row>
    <row r="761" spans="14:14" x14ac:dyDescent="0.4">
      <c r="N761" s="43"/>
    </row>
    <row r="762" spans="14:14" x14ac:dyDescent="0.4">
      <c r="N762" s="43"/>
    </row>
    <row r="763" spans="14:14" x14ac:dyDescent="0.4">
      <c r="N763" s="43"/>
    </row>
    <row r="764" spans="14:14" x14ac:dyDescent="0.4">
      <c r="N764" s="43"/>
    </row>
    <row r="765" spans="14:14" x14ac:dyDescent="0.4">
      <c r="N765" s="43"/>
    </row>
    <row r="766" spans="14:14" x14ac:dyDescent="0.4">
      <c r="N766" s="43"/>
    </row>
    <row r="767" spans="14:14" x14ac:dyDescent="0.4">
      <c r="N767" s="43"/>
    </row>
    <row r="768" spans="14:14" x14ac:dyDescent="0.4">
      <c r="N768" s="43"/>
    </row>
    <row r="769" spans="14:14" x14ac:dyDescent="0.4">
      <c r="N769" s="43"/>
    </row>
    <row r="770" spans="14:14" x14ac:dyDescent="0.4">
      <c r="N770" s="43"/>
    </row>
    <row r="771" spans="14:14" x14ac:dyDescent="0.4">
      <c r="N771" s="43"/>
    </row>
    <row r="772" spans="14:14" x14ac:dyDescent="0.4">
      <c r="N772" s="43"/>
    </row>
    <row r="773" spans="14:14" x14ac:dyDescent="0.4">
      <c r="N773" s="43"/>
    </row>
    <row r="774" spans="14:14" x14ac:dyDescent="0.4">
      <c r="N774" s="43"/>
    </row>
    <row r="775" spans="14:14" x14ac:dyDescent="0.4">
      <c r="N775" s="43"/>
    </row>
    <row r="776" spans="14:14" x14ac:dyDescent="0.4">
      <c r="N776" s="43"/>
    </row>
    <row r="777" spans="14:14" x14ac:dyDescent="0.4">
      <c r="N777" s="43"/>
    </row>
    <row r="778" spans="14:14" x14ac:dyDescent="0.4">
      <c r="N778" s="43"/>
    </row>
    <row r="779" spans="14:14" x14ac:dyDescent="0.4">
      <c r="N779" s="43"/>
    </row>
    <row r="780" spans="14:14" x14ac:dyDescent="0.4">
      <c r="N780" s="43"/>
    </row>
    <row r="781" spans="14:14" x14ac:dyDescent="0.4">
      <c r="N781" s="43"/>
    </row>
    <row r="782" spans="14:14" x14ac:dyDescent="0.4">
      <c r="N782" s="43"/>
    </row>
    <row r="783" spans="14:14" x14ac:dyDescent="0.4">
      <c r="N783" s="43"/>
    </row>
    <row r="784" spans="14:14" x14ac:dyDescent="0.4">
      <c r="N784" s="43"/>
    </row>
    <row r="785" spans="14:14" x14ac:dyDescent="0.4">
      <c r="N785" s="43"/>
    </row>
    <row r="786" spans="14:14" x14ac:dyDescent="0.4">
      <c r="N786" s="43"/>
    </row>
    <row r="787" spans="14:14" x14ac:dyDescent="0.4">
      <c r="N787" s="43"/>
    </row>
    <row r="788" spans="14:14" x14ac:dyDescent="0.4">
      <c r="N788" s="43"/>
    </row>
    <row r="789" spans="14:14" x14ac:dyDescent="0.4">
      <c r="N789" s="43"/>
    </row>
    <row r="790" spans="14:14" x14ac:dyDescent="0.4">
      <c r="N790" s="43"/>
    </row>
    <row r="791" spans="14:14" x14ac:dyDescent="0.4">
      <c r="N791" s="43"/>
    </row>
    <row r="792" spans="14:14" x14ac:dyDescent="0.4">
      <c r="N792" s="43"/>
    </row>
    <row r="793" spans="14:14" x14ac:dyDescent="0.4">
      <c r="N793" s="43"/>
    </row>
    <row r="794" spans="14:14" x14ac:dyDescent="0.4">
      <c r="N794" s="43"/>
    </row>
    <row r="795" spans="14:14" x14ac:dyDescent="0.4">
      <c r="N795" s="43"/>
    </row>
    <row r="796" spans="14:14" x14ac:dyDescent="0.4">
      <c r="N796" s="43"/>
    </row>
    <row r="797" spans="14:14" x14ac:dyDescent="0.4">
      <c r="N797" s="43"/>
    </row>
    <row r="798" spans="14:14" x14ac:dyDescent="0.4">
      <c r="N798" s="43"/>
    </row>
    <row r="799" spans="14:14" x14ac:dyDescent="0.4">
      <c r="N799" s="43"/>
    </row>
    <row r="800" spans="14:14" x14ac:dyDescent="0.4">
      <c r="N800" s="43"/>
    </row>
    <row r="801" spans="14:14" x14ac:dyDescent="0.4">
      <c r="N801" s="43"/>
    </row>
    <row r="802" spans="14:14" x14ac:dyDescent="0.4">
      <c r="N802" s="43"/>
    </row>
    <row r="803" spans="14:14" x14ac:dyDescent="0.4">
      <c r="N803" s="43"/>
    </row>
    <row r="804" spans="14:14" x14ac:dyDescent="0.4">
      <c r="N804" s="43"/>
    </row>
    <row r="805" spans="14:14" x14ac:dyDescent="0.4">
      <c r="N805" s="43"/>
    </row>
    <row r="806" spans="14:14" x14ac:dyDescent="0.4">
      <c r="N806" s="43"/>
    </row>
    <row r="807" spans="14:14" x14ac:dyDescent="0.4">
      <c r="N807" s="43"/>
    </row>
    <row r="808" spans="14:14" x14ac:dyDescent="0.4">
      <c r="N808" s="43"/>
    </row>
    <row r="809" spans="14:14" x14ac:dyDescent="0.4">
      <c r="N809" s="43"/>
    </row>
    <row r="810" spans="14:14" x14ac:dyDescent="0.4">
      <c r="N810" s="43"/>
    </row>
    <row r="811" spans="14:14" x14ac:dyDescent="0.4">
      <c r="N811" s="43"/>
    </row>
    <row r="812" spans="14:14" x14ac:dyDescent="0.4">
      <c r="N812" s="43"/>
    </row>
    <row r="813" spans="14:14" x14ac:dyDescent="0.4">
      <c r="N813" s="43"/>
    </row>
    <row r="814" spans="14:14" x14ac:dyDescent="0.4">
      <c r="N814" s="43"/>
    </row>
    <row r="815" spans="14:14" x14ac:dyDescent="0.4">
      <c r="N815" s="43"/>
    </row>
    <row r="816" spans="14:14" x14ac:dyDescent="0.4">
      <c r="N816" s="43"/>
    </row>
    <row r="817" spans="14:14" x14ac:dyDescent="0.4">
      <c r="N817" s="43"/>
    </row>
    <row r="818" spans="14:14" x14ac:dyDescent="0.4">
      <c r="N818" s="43"/>
    </row>
    <row r="819" spans="14:14" x14ac:dyDescent="0.4">
      <c r="N819" s="43"/>
    </row>
    <row r="820" spans="14:14" x14ac:dyDescent="0.4">
      <c r="N820" s="43"/>
    </row>
    <row r="821" spans="14:14" x14ac:dyDescent="0.4">
      <c r="N821" s="43"/>
    </row>
    <row r="822" spans="14:14" x14ac:dyDescent="0.4">
      <c r="N822" s="43"/>
    </row>
    <row r="823" spans="14:14" x14ac:dyDescent="0.4">
      <c r="N823" s="43"/>
    </row>
    <row r="824" spans="14:14" x14ac:dyDescent="0.4">
      <c r="N824" s="43"/>
    </row>
    <row r="825" spans="14:14" x14ac:dyDescent="0.4">
      <c r="N825" s="43"/>
    </row>
    <row r="826" spans="14:14" x14ac:dyDescent="0.4">
      <c r="N826" s="43"/>
    </row>
    <row r="827" spans="14:14" x14ac:dyDescent="0.4">
      <c r="N827" s="43"/>
    </row>
    <row r="828" spans="14:14" x14ac:dyDescent="0.4">
      <c r="N828" s="43"/>
    </row>
    <row r="829" spans="14:14" x14ac:dyDescent="0.4">
      <c r="N829" s="43"/>
    </row>
    <row r="830" spans="14:14" x14ac:dyDescent="0.4">
      <c r="N830" s="43"/>
    </row>
    <row r="831" spans="14:14" x14ac:dyDescent="0.4">
      <c r="N831" s="43"/>
    </row>
    <row r="832" spans="14:14" x14ac:dyDescent="0.4">
      <c r="N832" s="43"/>
    </row>
    <row r="833" spans="14:14" x14ac:dyDescent="0.4">
      <c r="N833" s="43"/>
    </row>
    <row r="834" spans="14:14" x14ac:dyDescent="0.4">
      <c r="N834" s="43"/>
    </row>
    <row r="835" spans="14:14" x14ac:dyDescent="0.4">
      <c r="N835" s="43"/>
    </row>
    <row r="836" spans="14:14" x14ac:dyDescent="0.4">
      <c r="N836" s="43"/>
    </row>
    <row r="837" spans="14:14" x14ac:dyDescent="0.4">
      <c r="N837" s="43"/>
    </row>
    <row r="838" spans="14:14" x14ac:dyDescent="0.4">
      <c r="N838" s="43"/>
    </row>
    <row r="839" spans="14:14" x14ac:dyDescent="0.4">
      <c r="N839" s="43"/>
    </row>
    <row r="840" spans="14:14" x14ac:dyDescent="0.4">
      <c r="N840" s="43"/>
    </row>
    <row r="841" spans="14:14" x14ac:dyDescent="0.4">
      <c r="N841" s="43"/>
    </row>
    <row r="842" spans="14:14" x14ac:dyDescent="0.4">
      <c r="N842" s="43"/>
    </row>
    <row r="843" spans="14:14" x14ac:dyDescent="0.4">
      <c r="N843" s="43"/>
    </row>
    <row r="844" spans="14:14" x14ac:dyDescent="0.4">
      <c r="N844" s="43"/>
    </row>
    <row r="845" spans="14:14" x14ac:dyDescent="0.4">
      <c r="N845" s="43"/>
    </row>
    <row r="846" spans="14:14" x14ac:dyDescent="0.4">
      <c r="N846" s="43"/>
    </row>
    <row r="847" spans="14:14" x14ac:dyDescent="0.4">
      <c r="N847" s="43"/>
    </row>
    <row r="848" spans="14:14" x14ac:dyDescent="0.4">
      <c r="N848" s="43"/>
    </row>
    <row r="849" spans="14:14" x14ac:dyDescent="0.4">
      <c r="N849" s="43"/>
    </row>
    <row r="850" spans="14:14" x14ac:dyDescent="0.4">
      <c r="N850" s="43"/>
    </row>
    <row r="851" spans="14:14" x14ac:dyDescent="0.4">
      <c r="N851" s="43"/>
    </row>
    <row r="852" spans="14:14" x14ac:dyDescent="0.4">
      <c r="N852" s="43"/>
    </row>
    <row r="853" spans="14:14" x14ac:dyDescent="0.4">
      <c r="N853" s="43"/>
    </row>
    <row r="854" spans="14:14" x14ac:dyDescent="0.4">
      <c r="N854" s="43"/>
    </row>
    <row r="855" spans="14:14" x14ac:dyDescent="0.4">
      <c r="N855" s="43"/>
    </row>
    <row r="856" spans="14:14" x14ac:dyDescent="0.4">
      <c r="N856" s="43"/>
    </row>
    <row r="857" spans="14:14" x14ac:dyDescent="0.4">
      <c r="N857" s="43"/>
    </row>
    <row r="858" spans="14:14" x14ac:dyDescent="0.4">
      <c r="N858" s="43"/>
    </row>
    <row r="859" spans="14:14" x14ac:dyDescent="0.4">
      <c r="N859" s="43"/>
    </row>
    <row r="860" spans="14:14" x14ac:dyDescent="0.4">
      <c r="N860" s="43"/>
    </row>
    <row r="861" spans="14:14" x14ac:dyDescent="0.4">
      <c r="N861" s="43"/>
    </row>
    <row r="862" spans="14:14" x14ac:dyDescent="0.4">
      <c r="N862" s="43"/>
    </row>
    <row r="863" spans="14:14" x14ac:dyDescent="0.4">
      <c r="N863" s="43"/>
    </row>
    <row r="864" spans="14:14" x14ac:dyDescent="0.4">
      <c r="N864" s="43"/>
    </row>
    <row r="865" spans="14:14" x14ac:dyDescent="0.4">
      <c r="N865" s="43"/>
    </row>
    <row r="866" spans="14:14" x14ac:dyDescent="0.4">
      <c r="N866" s="43"/>
    </row>
    <row r="867" spans="14:14" x14ac:dyDescent="0.4">
      <c r="N867" s="43"/>
    </row>
    <row r="868" spans="14:14" x14ac:dyDescent="0.4">
      <c r="N868" s="43"/>
    </row>
    <row r="869" spans="14:14" x14ac:dyDescent="0.4">
      <c r="N869" s="43"/>
    </row>
    <row r="870" spans="14:14" x14ac:dyDescent="0.4">
      <c r="N870" s="43"/>
    </row>
    <row r="871" spans="14:14" x14ac:dyDescent="0.4">
      <c r="N871" s="43"/>
    </row>
    <row r="872" spans="14:14" x14ac:dyDescent="0.4">
      <c r="N872" s="43"/>
    </row>
    <row r="873" spans="14:14" x14ac:dyDescent="0.4">
      <c r="N873" s="43"/>
    </row>
    <row r="874" spans="14:14" x14ac:dyDescent="0.4">
      <c r="N874" s="43"/>
    </row>
    <row r="875" spans="14:14" x14ac:dyDescent="0.4">
      <c r="N875" s="43"/>
    </row>
    <row r="876" spans="14:14" x14ac:dyDescent="0.4">
      <c r="N876" s="43"/>
    </row>
    <row r="877" spans="14:14" x14ac:dyDescent="0.4">
      <c r="N877" s="43"/>
    </row>
    <row r="878" spans="14:14" x14ac:dyDescent="0.4">
      <c r="N878" s="43"/>
    </row>
    <row r="879" spans="14:14" x14ac:dyDescent="0.4">
      <c r="N879" s="43"/>
    </row>
    <row r="880" spans="14:14" x14ac:dyDescent="0.4">
      <c r="N880" s="43"/>
    </row>
    <row r="881" spans="14:14" x14ac:dyDescent="0.4">
      <c r="N881" s="43"/>
    </row>
    <row r="882" spans="14:14" x14ac:dyDescent="0.4">
      <c r="N882" s="43"/>
    </row>
    <row r="883" spans="14:14" x14ac:dyDescent="0.4">
      <c r="N883" s="43"/>
    </row>
    <row r="884" spans="14:14" x14ac:dyDescent="0.4">
      <c r="N884" s="43"/>
    </row>
    <row r="885" spans="14:14" x14ac:dyDescent="0.4">
      <c r="N885" s="43"/>
    </row>
    <row r="886" spans="14:14" x14ac:dyDescent="0.4">
      <c r="N886" s="43"/>
    </row>
    <row r="887" spans="14:14" x14ac:dyDescent="0.4">
      <c r="N887" s="43"/>
    </row>
    <row r="888" spans="14:14" x14ac:dyDescent="0.4">
      <c r="N888" s="43"/>
    </row>
    <row r="889" spans="14:14" x14ac:dyDescent="0.4">
      <c r="N889" s="43"/>
    </row>
    <row r="890" spans="14:14" x14ac:dyDescent="0.4">
      <c r="N890" s="43"/>
    </row>
    <row r="891" spans="14:14" x14ac:dyDescent="0.4">
      <c r="N891" s="43"/>
    </row>
    <row r="892" spans="14:14" x14ac:dyDescent="0.4">
      <c r="N892" s="43"/>
    </row>
    <row r="893" spans="14:14" x14ac:dyDescent="0.4">
      <c r="N893" s="43"/>
    </row>
    <row r="894" spans="14:14" x14ac:dyDescent="0.4">
      <c r="N894" s="43"/>
    </row>
    <row r="895" spans="14:14" x14ac:dyDescent="0.4">
      <c r="N895" s="43"/>
    </row>
    <row r="896" spans="14:14" x14ac:dyDescent="0.4">
      <c r="N896" s="43"/>
    </row>
    <row r="897" spans="14:14" x14ac:dyDescent="0.4">
      <c r="N897" s="43"/>
    </row>
    <row r="898" spans="14:14" x14ac:dyDescent="0.4">
      <c r="N898" s="43"/>
    </row>
    <row r="899" spans="14:14" x14ac:dyDescent="0.4">
      <c r="N899" s="43"/>
    </row>
    <row r="900" spans="14:14" x14ac:dyDescent="0.4">
      <c r="N900" s="43"/>
    </row>
    <row r="901" spans="14:14" x14ac:dyDescent="0.4">
      <c r="N901" s="43"/>
    </row>
    <row r="902" spans="14:14" x14ac:dyDescent="0.4">
      <c r="N902" s="43"/>
    </row>
    <row r="903" spans="14:14" x14ac:dyDescent="0.4">
      <c r="N903" s="43"/>
    </row>
    <row r="904" spans="14:14" x14ac:dyDescent="0.4">
      <c r="N904" s="43"/>
    </row>
    <row r="905" spans="14:14" x14ac:dyDescent="0.4">
      <c r="N905" s="43"/>
    </row>
    <row r="906" spans="14:14" x14ac:dyDescent="0.4">
      <c r="N906" s="43"/>
    </row>
    <row r="907" spans="14:14" x14ac:dyDescent="0.4">
      <c r="N907" s="43"/>
    </row>
    <row r="908" spans="14:14" x14ac:dyDescent="0.4">
      <c r="N908" s="43"/>
    </row>
    <row r="909" spans="14:14" x14ac:dyDescent="0.4">
      <c r="N909" s="43"/>
    </row>
    <row r="910" spans="14:14" x14ac:dyDescent="0.4">
      <c r="N910" s="43"/>
    </row>
    <row r="911" spans="14:14" x14ac:dyDescent="0.4">
      <c r="N911" s="43"/>
    </row>
    <row r="912" spans="14:14" x14ac:dyDescent="0.4">
      <c r="N912" s="43"/>
    </row>
    <row r="913" spans="14:14" x14ac:dyDescent="0.4">
      <c r="N913" s="43"/>
    </row>
    <row r="914" spans="14:14" x14ac:dyDescent="0.4">
      <c r="N914" s="43"/>
    </row>
    <row r="915" spans="14:14" x14ac:dyDescent="0.4">
      <c r="N915" s="43"/>
    </row>
    <row r="916" spans="14:14" x14ac:dyDescent="0.4">
      <c r="N916" s="43"/>
    </row>
    <row r="917" spans="14:14" x14ac:dyDescent="0.4">
      <c r="N917" s="43"/>
    </row>
    <row r="918" spans="14:14" x14ac:dyDescent="0.4">
      <c r="N918" s="43"/>
    </row>
    <row r="919" spans="14:14" x14ac:dyDescent="0.4">
      <c r="N919" s="43"/>
    </row>
    <row r="920" spans="14:14" x14ac:dyDescent="0.4">
      <c r="N920" s="43"/>
    </row>
    <row r="921" spans="14:14" x14ac:dyDescent="0.4">
      <c r="N921" s="43"/>
    </row>
    <row r="922" spans="14:14" x14ac:dyDescent="0.4">
      <c r="N922" s="43"/>
    </row>
    <row r="923" spans="14:14" x14ac:dyDescent="0.4">
      <c r="N923" s="43"/>
    </row>
    <row r="924" spans="14:14" x14ac:dyDescent="0.4">
      <c r="N924" s="43"/>
    </row>
    <row r="925" spans="14:14" x14ac:dyDescent="0.4">
      <c r="N925" s="43"/>
    </row>
    <row r="926" spans="14:14" x14ac:dyDescent="0.4">
      <c r="N926" s="43"/>
    </row>
    <row r="927" spans="14:14" x14ac:dyDescent="0.4">
      <c r="N927" s="43"/>
    </row>
    <row r="928" spans="14:14" x14ac:dyDescent="0.4">
      <c r="N928" s="43"/>
    </row>
    <row r="929" spans="14:14" x14ac:dyDescent="0.4">
      <c r="N929" s="43"/>
    </row>
    <row r="930" spans="14:14" x14ac:dyDescent="0.4">
      <c r="N930" s="43"/>
    </row>
    <row r="931" spans="14:14" x14ac:dyDescent="0.4">
      <c r="N931" s="43"/>
    </row>
    <row r="932" spans="14:14" x14ac:dyDescent="0.4">
      <c r="N932" s="43"/>
    </row>
    <row r="933" spans="14:14" x14ac:dyDescent="0.4">
      <c r="N933" s="43"/>
    </row>
    <row r="934" spans="14:14" x14ac:dyDescent="0.4">
      <c r="N934" s="43"/>
    </row>
    <row r="935" spans="14:14" x14ac:dyDescent="0.4">
      <c r="N935" s="43"/>
    </row>
    <row r="936" spans="14:14" x14ac:dyDescent="0.4">
      <c r="N936" s="43"/>
    </row>
    <row r="937" spans="14:14" x14ac:dyDescent="0.4">
      <c r="N937" s="43"/>
    </row>
    <row r="938" spans="14:14" x14ac:dyDescent="0.4">
      <c r="N938" s="43"/>
    </row>
    <row r="939" spans="14:14" x14ac:dyDescent="0.4">
      <c r="N939" s="43"/>
    </row>
    <row r="940" spans="14:14" x14ac:dyDescent="0.4">
      <c r="N940" s="43"/>
    </row>
    <row r="941" spans="14:14" x14ac:dyDescent="0.4">
      <c r="N941" s="43"/>
    </row>
    <row r="942" spans="14:14" x14ac:dyDescent="0.4">
      <c r="N942" s="43"/>
    </row>
    <row r="943" spans="14:14" x14ac:dyDescent="0.4">
      <c r="N943" s="43"/>
    </row>
    <row r="944" spans="14:14" x14ac:dyDescent="0.4">
      <c r="N944" s="43"/>
    </row>
    <row r="945" spans="14:14" x14ac:dyDescent="0.4">
      <c r="N945" s="43"/>
    </row>
    <row r="946" spans="14:14" x14ac:dyDescent="0.4">
      <c r="N946" s="43"/>
    </row>
    <row r="947" spans="14:14" x14ac:dyDescent="0.4">
      <c r="N947" s="43"/>
    </row>
    <row r="948" spans="14:14" x14ac:dyDescent="0.4">
      <c r="N948" s="43"/>
    </row>
    <row r="949" spans="14:14" x14ac:dyDescent="0.4">
      <c r="N949" s="43"/>
    </row>
    <row r="950" spans="14:14" x14ac:dyDescent="0.4">
      <c r="N950" s="43"/>
    </row>
    <row r="951" spans="14:14" x14ac:dyDescent="0.4">
      <c r="N951" s="43"/>
    </row>
    <row r="952" spans="14:14" x14ac:dyDescent="0.4">
      <c r="N952" s="43"/>
    </row>
    <row r="953" spans="14:14" x14ac:dyDescent="0.4">
      <c r="N953" s="43"/>
    </row>
    <row r="954" spans="14:14" x14ac:dyDescent="0.4">
      <c r="N954" s="43"/>
    </row>
    <row r="955" spans="14:14" x14ac:dyDescent="0.4">
      <c r="N955" s="43"/>
    </row>
    <row r="956" spans="14:14" x14ac:dyDescent="0.4">
      <c r="N956" s="43"/>
    </row>
    <row r="957" spans="14:14" x14ac:dyDescent="0.4">
      <c r="N957" s="43"/>
    </row>
    <row r="958" spans="14:14" x14ac:dyDescent="0.4">
      <c r="N958" s="43"/>
    </row>
    <row r="959" spans="14:14" x14ac:dyDescent="0.4">
      <c r="N959" s="43"/>
    </row>
    <row r="960" spans="14:14" x14ac:dyDescent="0.4">
      <c r="N960" s="43"/>
    </row>
    <row r="961" spans="14:14" x14ac:dyDescent="0.4">
      <c r="N961" s="43"/>
    </row>
    <row r="962" spans="14:14" x14ac:dyDescent="0.4">
      <c r="N962" s="43"/>
    </row>
    <row r="963" spans="14:14" x14ac:dyDescent="0.4">
      <c r="N963" s="43"/>
    </row>
    <row r="964" spans="14:14" x14ac:dyDescent="0.4">
      <c r="N964" s="43"/>
    </row>
    <row r="965" spans="14:14" x14ac:dyDescent="0.4">
      <c r="N965" s="43"/>
    </row>
    <row r="966" spans="14:14" x14ac:dyDescent="0.4">
      <c r="N966" s="43"/>
    </row>
    <row r="967" spans="14:14" x14ac:dyDescent="0.4">
      <c r="N967" s="43"/>
    </row>
    <row r="968" spans="14:14" x14ac:dyDescent="0.4">
      <c r="N968" s="43"/>
    </row>
    <row r="969" spans="14:14" x14ac:dyDescent="0.4">
      <c r="N969" s="43"/>
    </row>
    <row r="970" spans="14:14" x14ac:dyDescent="0.4">
      <c r="N970" s="43"/>
    </row>
    <row r="971" spans="14:14" x14ac:dyDescent="0.4">
      <c r="N971" s="43"/>
    </row>
    <row r="972" spans="14:14" x14ac:dyDescent="0.4">
      <c r="N972" s="43"/>
    </row>
    <row r="973" spans="14:14" x14ac:dyDescent="0.4">
      <c r="N973" s="43"/>
    </row>
    <row r="974" spans="14:14" x14ac:dyDescent="0.4">
      <c r="N974" s="43"/>
    </row>
    <row r="975" spans="14:14" x14ac:dyDescent="0.4">
      <c r="N975" s="43"/>
    </row>
    <row r="976" spans="14:14" x14ac:dyDescent="0.4">
      <c r="N976" s="43"/>
    </row>
    <row r="977" spans="14:14" x14ac:dyDescent="0.4">
      <c r="N977" s="43"/>
    </row>
    <row r="978" spans="14:14" x14ac:dyDescent="0.4">
      <c r="N978" s="43"/>
    </row>
    <row r="979" spans="14:14" x14ac:dyDescent="0.4">
      <c r="N979" s="43"/>
    </row>
    <row r="980" spans="14:14" x14ac:dyDescent="0.4">
      <c r="N980" s="43"/>
    </row>
    <row r="981" spans="14:14" x14ac:dyDescent="0.4">
      <c r="N981" s="43"/>
    </row>
    <row r="982" spans="14:14" x14ac:dyDescent="0.4">
      <c r="N982" s="43"/>
    </row>
    <row r="983" spans="14:14" x14ac:dyDescent="0.4">
      <c r="N983" s="43"/>
    </row>
    <row r="984" spans="14:14" x14ac:dyDescent="0.4">
      <c r="N984" s="43"/>
    </row>
    <row r="985" spans="14:14" x14ac:dyDescent="0.4">
      <c r="N985" s="43"/>
    </row>
    <row r="986" spans="14:14" x14ac:dyDescent="0.4">
      <c r="N986" s="43"/>
    </row>
    <row r="987" spans="14:14" x14ac:dyDescent="0.4">
      <c r="N987" s="43"/>
    </row>
    <row r="988" spans="14:14" x14ac:dyDescent="0.4">
      <c r="N988" s="43"/>
    </row>
    <row r="989" spans="14:14" x14ac:dyDescent="0.4">
      <c r="N989" s="43"/>
    </row>
    <row r="990" spans="14:14" x14ac:dyDescent="0.4">
      <c r="N990" s="43"/>
    </row>
    <row r="991" spans="14:14" x14ac:dyDescent="0.4">
      <c r="N991" s="43"/>
    </row>
    <row r="992" spans="14:14" x14ac:dyDescent="0.4">
      <c r="N992" s="43"/>
    </row>
    <row r="993" spans="14:14" x14ac:dyDescent="0.4">
      <c r="N993" s="43"/>
    </row>
    <row r="994" spans="14:14" x14ac:dyDescent="0.4">
      <c r="N994" s="43"/>
    </row>
    <row r="995" spans="14:14" x14ac:dyDescent="0.4">
      <c r="N995" s="43"/>
    </row>
    <row r="996" spans="14:14" x14ac:dyDescent="0.4">
      <c r="N996" s="43"/>
    </row>
    <row r="997" spans="14:14" x14ac:dyDescent="0.4">
      <c r="N997" s="43"/>
    </row>
    <row r="998" spans="14:14" x14ac:dyDescent="0.4">
      <c r="N998" s="43"/>
    </row>
    <row r="999" spans="14:14" x14ac:dyDescent="0.4">
      <c r="N999" s="43"/>
    </row>
    <row r="1000" spans="14:14" x14ac:dyDescent="0.4">
      <c r="N1000" s="43"/>
    </row>
    <row r="1001" spans="14:14" x14ac:dyDescent="0.4">
      <c r="N1001" s="43"/>
    </row>
    <row r="1002" spans="14:14" x14ac:dyDescent="0.4">
      <c r="N1002" s="43"/>
    </row>
    <row r="1003" spans="14:14" x14ac:dyDescent="0.4">
      <c r="N1003" s="43"/>
    </row>
    <row r="1004" spans="14:14" x14ac:dyDescent="0.4">
      <c r="N1004" s="43"/>
    </row>
    <row r="1005" spans="14:14" x14ac:dyDescent="0.4">
      <c r="N1005" s="43"/>
    </row>
    <row r="1006" spans="14:14" x14ac:dyDescent="0.4">
      <c r="N1006" s="43"/>
    </row>
    <row r="1007" spans="14:14" x14ac:dyDescent="0.4">
      <c r="N1007" s="43"/>
    </row>
    <row r="1008" spans="14:14" x14ac:dyDescent="0.4">
      <c r="N1008" s="43"/>
    </row>
    <row r="1009" spans="14:14" x14ac:dyDescent="0.4">
      <c r="N1009" s="43"/>
    </row>
    <row r="1010" spans="14:14" x14ac:dyDescent="0.4">
      <c r="N1010" s="43"/>
    </row>
    <row r="1011" spans="14:14" x14ac:dyDescent="0.4">
      <c r="N1011" s="43"/>
    </row>
    <row r="1012" spans="14:14" x14ac:dyDescent="0.4">
      <c r="N1012" s="43"/>
    </row>
    <row r="1013" spans="14:14" x14ac:dyDescent="0.4">
      <c r="N1013" s="43"/>
    </row>
    <row r="1014" spans="14:14" x14ac:dyDescent="0.4">
      <c r="N1014" s="43"/>
    </row>
    <row r="1015" spans="14:14" x14ac:dyDescent="0.4">
      <c r="N1015" s="43"/>
    </row>
    <row r="1016" spans="14:14" x14ac:dyDescent="0.4">
      <c r="N1016" s="43"/>
    </row>
    <row r="1017" spans="14:14" x14ac:dyDescent="0.4">
      <c r="N1017" s="43"/>
    </row>
    <row r="1018" spans="14:14" x14ac:dyDescent="0.4">
      <c r="N1018" s="43"/>
    </row>
    <row r="1019" spans="14:14" x14ac:dyDescent="0.4">
      <c r="N1019" s="43"/>
    </row>
    <row r="1020" spans="14:14" x14ac:dyDescent="0.4">
      <c r="N1020" s="43"/>
    </row>
    <row r="1021" spans="14:14" x14ac:dyDescent="0.4">
      <c r="N1021" s="43"/>
    </row>
    <row r="1022" spans="14:14" x14ac:dyDescent="0.4">
      <c r="N1022" s="43"/>
    </row>
    <row r="1023" spans="14:14" x14ac:dyDescent="0.4">
      <c r="N1023" s="43"/>
    </row>
    <row r="1024" spans="14:14" x14ac:dyDescent="0.4">
      <c r="N1024" s="43"/>
    </row>
    <row r="1025" spans="14:14" x14ac:dyDescent="0.4">
      <c r="N1025" s="43"/>
    </row>
    <row r="1026" spans="14:14" x14ac:dyDescent="0.4">
      <c r="N1026" s="43"/>
    </row>
    <row r="1027" spans="14:14" x14ac:dyDescent="0.4">
      <c r="N1027" s="43"/>
    </row>
    <row r="1028" spans="14:14" x14ac:dyDescent="0.4">
      <c r="N1028" s="43"/>
    </row>
    <row r="1029" spans="14:14" x14ac:dyDescent="0.4">
      <c r="N1029" s="43"/>
    </row>
    <row r="1030" spans="14:14" x14ac:dyDescent="0.4">
      <c r="N1030" s="43"/>
    </row>
    <row r="1031" spans="14:14" x14ac:dyDescent="0.4">
      <c r="N1031" s="43"/>
    </row>
    <row r="1032" spans="14:14" x14ac:dyDescent="0.4">
      <c r="N1032" s="43"/>
    </row>
    <row r="1033" spans="14:14" x14ac:dyDescent="0.4">
      <c r="N1033" s="43"/>
    </row>
    <row r="1034" spans="14:14" x14ac:dyDescent="0.4">
      <c r="N1034" s="43"/>
    </row>
    <row r="1035" spans="14:14" x14ac:dyDescent="0.4">
      <c r="N1035" s="43"/>
    </row>
    <row r="1036" spans="14:14" x14ac:dyDescent="0.4">
      <c r="N1036" s="43"/>
    </row>
    <row r="1037" spans="14:14" x14ac:dyDescent="0.4">
      <c r="N1037" s="43"/>
    </row>
    <row r="1038" spans="14:14" x14ac:dyDescent="0.4">
      <c r="N1038" s="43"/>
    </row>
    <row r="1039" spans="14:14" x14ac:dyDescent="0.4">
      <c r="N1039" s="43"/>
    </row>
    <row r="1040" spans="14:14" x14ac:dyDescent="0.4">
      <c r="N1040" s="43"/>
    </row>
    <row r="1041" spans="14:14" x14ac:dyDescent="0.4">
      <c r="N1041" s="43"/>
    </row>
    <row r="1042" spans="14:14" x14ac:dyDescent="0.4">
      <c r="N1042" s="43"/>
    </row>
    <row r="1043" spans="14:14" x14ac:dyDescent="0.4">
      <c r="N1043" s="43"/>
    </row>
    <row r="1044" spans="14:14" x14ac:dyDescent="0.4">
      <c r="N1044" s="43"/>
    </row>
    <row r="1045" spans="14:14" x14ac:dyDescent="0.4">
      <c r="N1045" s="43"/>
    </row>
    <row r="1046" spans="14:14" x14ac:dyDescent="0.4">
      <c r="N1046" s="43"/>
    </row>
    <row r="1047" spans="14:14" x14ac:dyDescent="0.4">
      <c r="N1047" s="43"/>
    </row>
    <row r="1048" spans="14:14" x14ac:dyDescent="0.4">
      <c r="N1048" s="43"/>
    </row>
    <row r="1049" spans="14:14" x14ac:dyDescent="0.4">
      <c r="N1049" s="43"/>
    </row>
    <row r="1050" spans="14:14" x14ac:dyDescent="0.4">
      <c r="N1050" s="43"/>
    </row>
    <row r="1051" spans="14:14" x14ac:dyDescent="0.4">
      <c r="N1051" s="43"/>
    </row>
    <row r="1052" spans="14:14" x14ac:dyDescent="0.4">
      <c r="N1052" s="43"/>
    </row>
    <row r="1053" spans="14:14" x14ac:dyDescent="0.4">
      <c r="N1053" s="43"/>
    </row>
    <row r="1054" spans="14:14" x14ac:dyDescent="0.4">
      <c r="N1054" s="43"/>
    </row>
    <row r="1055" spans="14:14" x14ac:dyDescent="0.4">
      <c r="N1055" s="43"/>
    </row>
    <row r="1056" spans="14:14" x14ac:dyDescent="0.4">
      <c r="N1056" s="43"/>
    </row>
    <row r="1057" spans="14:14" x14ac:dyDescent="0.4">
      <c r="N1057" s="43"/>
    </row>
    <row r="1058" spans="14:14" x14ac:dyDescent="0.4">
      <c r="N1058" s="43"/>
    </row>
    <row r="1059" spans="14:14" x14ac:dyDescent="0.4">
      <c r="N1059" s="43"/>
    </row>
    <row r="1060" spans="14:14" x14ac:dyDescent="0.4">
      <c r="N1060" s="43"/>
    </row>
    <row r="1061" spans="14:14" x14ac:dyDescent="0.4">
      <c r="N1061" s="43"/>
    </row>
    <row r="1062" spans="14:14" x14ac:dyDescent="0.4">
      <c r="N1062" s="43"/>
    </row>
    <row r="1063" spans="14:14" x14ac:dyDescent="0.4">
      <c r="N1063" s="43"/>
    </row>
    <row r="1064" spans="14:14" x14ac:dyDescent="0.4">
      <c r="N1064" s="43"/>
    </row>
    <row r="1065" spans="14:14" x14ac:dyDescent="0.4">
      <c r="N1065" s="43"/>
    </row>
    <row r="1066" spans="14:14" x14ac:dyDescent="0.4">
      <c r="N1066" s="43"/>
    </row>
    <row r="1067" spans="14:14" x14ac:dyDescent="0.4">
      <c r="N1067" s="43"/>
    </row>
    <row r="1068" spans="14:14" x14ac:dyDescent="0.4">
      <c r="N1068" s="43"/>
    </row>
    <row r="1069" spans="14:14" x14ac:dyDescent="0.4">
      <c r="N1069" s="43"/>
    </row>
    <row r="1070" spans="14:14" x14ac:dyDescent="0.4">
      <c r="N1070" s="43"/>
    </row>
    <row r="1071" spans="14:14" x14ac:dyDescent="0.4">
      <c r="N1071" s="43"/>
    </row>
    <row r="1072" spans="14:14" x14ac:dyDescent="0.4">
      <c r="N1072" s="43"/>
    </row>
    <row r="1073" spans="14:14" x14ac:dyDescent="0.4">
      <c r="N1073" s="43"/>
    </row>
    <row r="1074" spans="14:14" x14ac:dyDescent="0.4">
      <c r="N1074" s="43"/>
    </row>
    <row r="1075" spans="14:14" x14ac:dyDescent="0.4">
      <c r="N1075" s="43"/>
    </row>
    <row r="1076" spans="14:14" x14ac:dyDescent="0.4">
      <c r="N1076" s="43"/>
    </row>
    <row r="1077" spans="14:14" x14ac:dyDescent="0.4">
      <c r="N1077" s="43"/>
    </row>
    <row r="1078" spans="14:14" x14ac:dyDescent="0.4">
      <c r="N1078" s="43"/>
    </row>
    <row r="1079" spans="14:14" x14ac:dyDescent="0.4">
      <c r="N1079" s="43"/>
    </row>
    <row r="1080" spans="14:14" x14ac:dyDescent="0.4">
      <c r="N1080" s="43"/>
    </row>
    <row r="1081" spans="14:14" x14ac:dyDescent="0.4">
      <c r="N1081" s="43"/>
    </row>
    <row r="1082" spans="14:14" x14ac:dyDescent="0.4">
      <c r="N1082" s="43"/>
    </row>
    <row r="1083" spans="14:14" x14ac:dyDescent="0.4">
      <c r="N1083" s="43"/>
    </row>
    <row r="1084" spans="14:14" x14ac:dyDescent="0.4">
      <c r="N1084" s="43"/>
    </row>
    <row r="1085" spans="14:14" x14ac:dyDescent="0.4">
      <c r="N1085" s="43"/>
    </row>
    <row r="1086" spans="14:14" x14ac:dyDescent="0.4">
      <c r="N1086" s="43"/>
    </row>
    <row r="1087" spans="14:14" x14ac:dyDescent="0.4">
      <c r="N1087" s="43"/>
    </row>
    <row r="1088" spans="14:14" x14ac:dyDescent="0.4">
      <c r="N1088" s="43"/>
    </row>
    <row r="1089" spans="14:14" x14ac:dyDescent="0.4">
      <c r="N1089" s="43"/>
    </row>
    <row r="1090" spans="14:14" x14ac:dyDescent="0.4">
      <c r="N1090" s="43"/>
    </row>
    <row r="1091" spans="14:14" x14ac:dyDescent="0.4">
      <c r="N1091" s="43"/>
    </row>
    <row r="1092" spans="14:14" x14ac:dyDescent="0.4">
      <c r="N1092" s="43"/>
    </row>
    <row r="1093" spans="14:14" x14ac:dyDescent="0.4">
      <c r="N1093" s="43"/>
    </row>
    <row r="1094" spans="14:14" x14ac:dyDescent="0.4">
      <c r="N1094" s="43"/>
    </row>
    <row r="1095" spans="14:14" x14ac:dyDescent="0.4">
      <c r="N1095" s="43"/>
    </row>
    <row r="1096" spans="14:14" x14ac:dyDescent="0.4">
      <c r="N1096" s="43"/>
    </row>
    <row r="1097" spans="14:14" x14ac:dyDescent="0.4">
      <c r="N1097" s="43"/>
    </row>
    <row r="1098" spans="14:14" x14ac:dyDescent="0.4">
      <c r="N1098" s="43"/>
    </row>
    <row r="1099" spans="14:14" x14ac:dyDescent="0.4">
      <c r="N1099" s="43"/>
    </row>
    <row r="1100" spans="14:14" x14ac:dyDescent="0.4">
      <c r="N1100" s="43"/>
    </row>
    <row r="1101" spans="14:14" x14ac:dyDescent="0.4">
      <c r="N1101" s="43"/>
    </row>
    <row r="1102" spans="14:14" x14ac:dyDescent="0.4">
      <c r="N1102" s="43"/>
    </row>
    <row r="1103" spans="14:14" x14ac:dyDescent="0.4">
      <c r="N1103" s="43"/>
    </row>
    <row r="1104" spans="14:14" x14ac:dyDescent="0.4">
      <c r="N1104" s="43"/>
    </row>
    <row r="1105" spans="14:14" x14ac:dyDescent="0.4">
      <c r="N1105" s="43"/>
    </row>
    <row r="1106" spans="14:14" x14ac:dyDescent="0.4">
      <c r="N1106" s="43"/>
    </row>
    <row r="1107" spans="14:14" x14ac:dyDescent="0.4">
      <c r="N1107" s="43"/>
    </row>
    <row r="1108" spans="14:14" x14ac:dyDescent="0.4">
      <c r="N1108" s="43"/>
    </row>
    <row r="1109" spans="14:14" x14ac:dyDescent="0.4">
      <c r="N1109" s="43"/>
    </row>
    <row r="1110" spans="14:14" x14ac:dyDescent="0.4">
      <c r="N1110" s="43"/>
    </row>
    <row r="1111" spans="14:14" x14ac:dyDescent="0.4">
      <c r="N1111" s="43"/>
    </row>
    <row r="1112" spans="14:14" x14ac:dyDescent="0.4">
      <c r="N1112" s="43"/>
    </row>
    <row r="1113" spans="14:14" x14ac:dyDescent="0.4">
      <c r="N1113" s="43"/>
    </row>
    <row r="1114" spans="14:14" x14ac:dyDescent="0.4">
      <c r="N1114" s="43"/>
    </row>
    <row r="1115" spans="14:14" x14ac:dyDescent="0.4">
      <c r="N1115" s="43"/>
    </row>
    <row r="1116" spans="14:14" x14ac:dyDescent="0.4">
      <c r="N1116" s="43"/>
    </row>
    <row r="1117" spans="14:14" x14ac:dyDescent="0.4">
      <c r="N1117" s="43"/>
    </row>
    <row r="1118" spans="14:14" x14ac:dyDescent="0.4">
      <c r="N1118" s="43"/>
    </row>
    <row r="1119" spans="14:14" x14ac:dyDescent="0.4">
      <c r="N1119" s="43"/>
    </row>
    <row r="1120" spans="14:14" x14ac:dyDescent="0.4">
      <c r="N1120" s="43"/>
    </row>
    <row r="1121" spans="14:14" x14ac:dyDescent="0.4">
      <c r="N1121" s="43"/>
    </row>
    <row r="1122" spans="14:14" x14ac:dyDescent="0.4">
      <c r="N1122" s="43"/>
    </row>
    <row r="1123" spans="14:14" x14ac:dyDescent="0.4">
      <c r="N1123" s="43"/>
    </row>
    <row r="1124" spans="14:14" x14ac:dyDescent="0.4">
      <c r="N1124" s="43"/>
    </row>
    <row r="1125" spans="14:14" x14ac:dyDescent="0.4">
      <c r="N1125" s="43"/>
    </row>
    <row r="1126" spans="14:14" x14ac:dyDescent="0.4">
      <c r="N1126" s="43"/>
    </row>
    <row r="1127" spans="14:14" x14ac:dyDescent="0.4">
      <c r="N1127" s="43"/>
    </row>
    <row r="1128" spans="14:14" x14ac:dyDescent="0.4">
      <c r="N1128" s="43"/>
    </row>
    <row r="1129" spans="14:14" x14ac:dyDescent="0.4">
      <c r="N1129" s="43"/>
    </row>
    <row r="1130" spans="14:14" x14ac:dyDescent="0.4">
      <c r="N1130" s="43"/>
    </row>
    <row r="1131" spans="14:14" x14ac:dyDescent="0.4">
      <c r="N1131" s="43"/>
    </row>
    <row r="1132" spans="14:14" x14ac:dyDescent="0.4">
      <c r="N1132" s="43"/>
    </row>
    <row r="1133" spans="14:14" x14ac:dyDescent="0.4">
      <c r="N1133" s="43"/>
    </row>
    <row r="1134" spans="14:14" x14ac:dyDescent="0.4">
      <c r="N1134" s="43"/>
    </row>
    <row r="1135" spans="14:14" x14ac:dyDescent="0.4">
      <c r="N1135" s="43"/>
    </row>
    <row r="1136" spans="14:14" x14ac:dyDescent="0.4">
      <c r="N1136" s="43"/>
    </row>
    <row r="1137" spans="14:14" x14ac:dyDescent="0.4">
      <c r="N1137" s="43"/>
    </row>
    <row r="1138" spans="14:14" x14ac:dyDescent="0.4">
      <c r="N1138" s="43"/>
    </row>
    <row r="1139" spans="14:14" x14ac:dyDescent="0.4">
      <c r="N1139" s="43"/>
    </row>
    <row r="1140" spans="14:14" x14ac:dyDescent="0.4">
      <c r="N1140" s="43"/>
    </row>
    <row r="1141" spans="14:14" x14ac:dyDescent="0.4">
      <c r="N1141" s="43"/>
    </row>
    <row r="1142" spans="14:14" x14ac:dyDescent="0.4">
      <c r="N1142" s="43"/>
    </row>
    <row r="1143" spans="14:14" x14ac:dyDescent="0.4">
      <c r="N1143" s="43"/>
    </row>
    <row r="1144" spans="14:14" x14ac:dyDescent="0.4">
      <c r="N1144" s="43"/>
    </row>
    <row r="1145" spans="14:14" x14ac:dyDescent="0.4">
      <c r="N1145" s="43"/>
    </row>
    <row r="1146" spans="14:14" x14ac:dyDescent="0.4">
      <c r="N1146" s="43"/>
    </row>
    <row r="1147" spans="14:14" x14ac:dyDescent="0.4">
      <c r="N1147" s="43"/>
    </row>
    <row r="1148" spans="14:14" x14ac:dyDescent="0.4">
      <c r="N1148" s="43"/>
    </row>
    <row r="1149" spans="14:14" x14ac:dyDescent="0.4">
      <c r="N1149" s="43"/>
    </row>
    <row r="1150" spans="14:14" x14ac:dyDescent="0.4">
      <c r="N1150" s="43"/>
    </row>
    <row r="1151" spans="14:14" x14ac:dyDescent="0.4">
      <c r="N1151" s="43"/>
    </row>
    <row r="1152" spans="14:14" x14ac:dyDescent="0.4">
      <c r="N1152" s="43"/>
    </row>
    <row r="1153" spans="14:14" x14ac:dyDescent="0.4">
      <c r="N1153" s="43"/>
    </row>
    <row r="1154" spans="14:14" x14ac:dyDescent="0.4">
      <c r="N1154" s="43"/>
    </row>
    <row r="1155" spans="14:14" x14ac:dyDescent="0.4">
      <c r="N1155" s="43"/>
    </row>
    <row r="1156" spans="14:14" x14ac:dyDescent="0.4">
      <c r="N1156" s="43"/>
    </row>
    <row r="1157" spans="14:14" x14ac:dyDescent="0.4">
      <c r="N1157" s="43"/>
    </row>
    <row r="1158" spans="14:14" x14ac:dyDescent="0.4">
      <c r="N1158" s="43"/>
    </row>
    <row r="1159" spans="14:14" x14ac:dyDescent="0.4">
      <c r="N1159" s="43"/>
    </row>
    <row r="1160" spans="14:14" x14ac:dyDescent="0.4">
      <c r="N1160" s="43"/>
    </row>
    <row r="1161" spans="14:14" x14ac:dyDescent="0.4">
      <c r="N1161" s="43"/>
    </row>
    <row r="1162" spans="14:14" x14ac:dyDescent="0.4">
      <c r="N1162" s="43"/>
    </row>
    <row r="1163" spans="14:14" x14ac:dyDescent="0.4">
      <c r="N1163" s="43"/>
    </row>
    <row r="1164" spans="14:14" x14ac:dyDescent="0.4">
      <c r="N1164" s="43"/>
    </row>
    <row r="1165" spans="14:14" x14ac:dyDescent="0.4">
      <c r="N1165" s="43"/>
    </row>
    <row r="1166" spans="14:14" x14ac:dyDescent="0.4">
      <c r="N1166" s="43"/>
    </row>
    <row r="1167" spans="14:14" x14ac:dyDescent="0.4">
      <c r="N1167" s="43"/>
    </row>
    <row r="1168" spans="14:14" x14ac:dyDescent="0.4">
      <c r="N1168" s="43"/>
    </row>
    <row r="1169" spans="14:14" x14ac:dyDescent="0.4">
      <c r="N1169" s="43"/>
    </row>
    <row r="1170" spans="14:14" x14ac:dyDescent="0.4">
      <c r="N1170" s="43"/>
    </row>
    <row r="1171" spans="14:14" x14ac:dyDescent="0.4">
      <c r="N1171" s="43"/>
    </row>
    <row r="1172" spans="14:14" x14ac:dyDescent="0.4">
      <c r="N1172" s="43"/>
    </row>
    <row r="1173" spans="14:14" x14ac:dyDescent="0.4">
      <c r="N1173" s="43"/>
    </row>
    <row r="1174" spans="14:14" x14ac:dyDescent="0.4">
      <c r="N1174" s="43"/>
    </row>
    <row r="1175" spans="14:14" x14ac:dyDescent="0.4">
      <c r="N1175" s="43"/>
    </row>
    <row r="1176" spans="14:14" x14ac:dyDescent="0.4">
      <c r="N1176" s="43"/>
    </row>
    <row r="1177" spans="14:14" x14ac:dyDescent="0.4">
      <c r="N1177" s="43"/>
    </row>
    <row r="1178" spans="14:14" x14ac:dyDescent="0.4">
      <c r="N1178" s="43"/>
    </row>
    <row r="1179" spans="14:14" x14ac:dyDescent="0.4">
      <c r="N1179" s="43"/>
    </row>
    <row r="1180" spans="14:14" x14ac:dyDescent="0.4">
      <c r="N1180" s="43"/>
    </row>
    <row r="1181" spans="14:14" x14ac:dyDescent="0.4">
      <c r="N1181" s="43"/>
    </row>
  </sheetData>
  <sheetProtection algorithmName="SHA-512" hashValue="KYv13acMxMgaD/8WCFc+DaDFNTr0bCH1G43iiLsspLtTbbZV80b5eW0JkNzseIm2zOokxUCzua69hNyVLt8R5A==" saltValue="cRU6dhLcEmwisezkA88RwQ==" spinCount="100000" sheet="1" objects="1" scenarios="1" formatCells="0" formatColumns="0" formatRows="0" insertHyperlinks="0" pivotTable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34" t="s">
        <v>0</v>
      </c>
      <c r="B1" s="34"/>
      <c r="C1" s="34"/>
      <c r="D1" s="34"/>
      <c r="E1" s="34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6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topLeftCell="A229" workbookViewId="0">
      <selection activeCell="D58" sqref="D58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35" t="s">
        <v>52</v>
      </c>
      <c r="B1" s="35"/>
      <c r="C1" s="35"/>
      <c r="D1" s="35"/>
      <c r="E1" s="35"/>
      <c r="F1" s="35"/>
      <c r="G1" s="35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43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43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43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43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43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43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43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43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43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43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43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43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43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43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43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43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43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43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43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43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43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43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43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43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43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43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43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43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43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43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43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43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43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43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43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43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43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43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43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43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43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43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A45">
        <v>1034</v>
      </c>
      <c r="B45" s="4">
        <v>45449.596631944441</v>
      </c>
      <c r="C45" t="s">
        <v>43</v>
      </c>
      <c r="D45" t="s">
        <v>6</v>
      </c>
      <c r="E45">
        <v>2</v>
      </c>
      <c r="F45" s="5">
        <v>2.99</v>
      </c>
      <c r="G45" s="5">
        <v>5.98</v>
      </c>
    </row>
    <row r="46" spans="1:7" x14ac:dyDescent="0.4">
      <c r="A46">
        <v>1034</v>
      </c>
      <c r="B46" s="4">
        <v>45449.596631944441</v>
      </c>
      <c r="C46" t="s">
        <v>43</v>
      </c>
      <c r="D46" t="s">
        <v>20</v>
      </c>
      <c r="E46">
        <v>1</v>
      </c>
      <c r="F46" s="5">
        <v>4.95</v>
      </c>
      <c r="G46" s="5">
        <v>4.95</v>
      </c>
    </row>
    <row r="47" spans="1:7" x14ac:dyDescent="0.4">
      <c r="A47">
        <v>1034</v>
      </c>
      <c r="B47" s="4">
        <v>45449.596631944441</v>
      </c>
      <c r="C47" t="s">
        <v>43</v>
      </c>
      <c r="D47" t="s">
        <v>22</v>
      </c>
      <c r="E47">
        <v>1</v>
      </c>
      <c r="F47" s="5">
        <v>4.95</v>
      </c>
      <c r="G47" s="5">
        <v>4.95</v>
      </c>
    </row>
    <row r="48" spans="1:7" x14ac:dyDescent="0.4">
      <c r="A48">
        <v>1034</v>
      </c>
      <c r="B48" s="4">
        <v>45449.596631944441</v>
      </c>
      <c r="C48" t="s">
        <v>43</v>
      </c>
      <c r="D48" t="s">
        <v>18</v>
      </c>
      <c r="E48">
        <v>1</v>
      </c>
      <c r="F48" s="5">
        <v>3.99</v>
      </c>
      <c r="G48" s="5">
        <v>3.99</v>
      </c>
    </row>
    <row r="49" spans="1:7" x14ac:dyDescent="0.4">
      <c r="A49">
        <v>1034</v>
      </c>
      <c r="B49" s="4">
        <v>45449.596631944441</v>
      </c>
      <c r="C49" t="s">
        <v>43</v>
      </c>
      <c r="D49" t="s">
        <v>14</v>
      </c>
      <c r="E49">
        <v>1</v>
      </c>
      <c r="F49" s="5">
        <v>3.49</v>
      </c>
      <c r="G49" s="5">
        <v>3.49</v>
      </c>
    </row>
    <row r="50" spans="1:7" x14ac:dyDescent="0.4">
      <c r="A50">
        <v>1034</v>
      </c>
      <c r="B50" s="4">
        <v>45449.596631944441</v>
      </c>
      <c r="C50" t="s">
        <v>43</v>
      </c>
      <c r="D50" t="s">
        <v>14</v>
      </c>
      <c r="E50">
        <v>1</v>
      </c>
      <c r="F50" s="5">
        <v>3.49</v>
      </c>
      <c r="G50" s="5">
        <v>3.49</v>
      </c>
    </row>
    <row r="51" spans="1:7" x14ac:dyDescent="0.4">
      <c r="A51">
        <v>1034</v>
      </c>
      <c r="B51" s="4">
        <v>45449.596631944441</v>
      </c>
      <c r="C51" t="s">
        <v>43</v>
      </c>
      <c r="D51" t="s">
        <v>22</v>
      </c>
      <c r="E51">
        <v>1</v>
      </c>
      <c r="F51" s="5">
        <v>4.95</v>
      </c>
      <c r="G51" s="5">
        <v>4.95</v>
      </c>
    </row>
    <row r="52" spans="1:7" x14ac:dyDescent="0.4">
      <c r="A52">
        <v>1034</v>
      </c>
      <c r="B52" s="4">
        <v>45449.596631944441</v>
      </c>
      <c r="C52" t="s">
        <v>43</v>
      </c>
      <c r="D52" t="s">
        <v>16</v>
      </c>
      <c r="E52">
        <v>1</v>
      </c>
      <c r="F52" s="5">
        <v>1.99</v>
      </c>
      <c r="G52" s="5">
        <v>1.99</v>
      </c>
    </row>
    <row r="53" spans="1:7" x14ac:dyDescent="0.4">
      <c r="A53">
        <v>1035</v>
      </c>
      <c r="B53" s="4">
        <v>45449.600775462961</v>
      </c>
      <c r="C53" t="s">
        <v>43</v>
      </c>
      <c r="D53" t="s">
        <v>45</v>
      </c>
      <c r="E53" t="s">
        <v>46</v>
      </c>
      <c r="F53" s="5" t="s">
        <v>4</v>
      </c>
      <c r="G53" s="5" t="s">
        <v>29</v>
      </c>
    </row>
    <row r="54" spans="1:7" x14ac:dyDescent="0.4">
      <c r="A54">
        <v>1036</v>
      </c>
      <c r="B54" s="4">
        <v>45449.600787037038</v>
      </c>
      <c r="C54" t="s">
        <v>43</v>
      </c>
      <c r="D54" t="s">
        <v>45</v>
      </c>
      <c r="E54" t="s">
        <v>46</v>
      </c>
      <c r="F54" t="s">
        <v>4</v>
      </c>
      <c r="G54" t="s">
        <v>29</v>
      </c>
    </row>
    <row r="55" spans="1:7" x14ac:dyDescent="0.4">
      <c r="A55">
        <v>1037</v>
      </c>
      <c r="B55" s="4">
        <v>45449.605509259258</v>
      </c>
      <c r="C55" t="s">
        <v>43</v>
      </c>
      <c r="D55" t="s">
        <v>45</v>
      </c>
      <c r="E55" t="s">
        <v>46</v>
      </c>
      <c r="F55" t="s">
        <v>4</v>
      </c>
      <c r="G55" t="s">
        <v>29</v>
      </c>
    </row>
    <row r="56" spans="1:7" x14ac:dyDescent="0.4">
      <c r="A56">
        <v>1037</v>
      </c>
      <c r="B56" s="4">
        <v>45449.605509259258</v>
      </c>
      <c r="C56" t="s">
        <v>43</v>
      </c>
    </row>
    <row r="57" spans="1:7" x14ac:dyDescent="0.4">
      <c r="A57">
        <v>1038</v>
      </c>
      <c r="B57" s="4">
        <v>45449.61209490741</v>
      </c>
      <c r="C57" t="s">
        <v>43</v>
      </c>
      <c r="D57" t="s">
        <v>20</v>
      </c>
      <c r="E57">
        <v>1</v>
      </c>
      <c r="F57" s="5">
        <v>4.95</v>
      </c>
      <c r="G57" s="5">
        <v>4.95</v>
      </c>
    </row>
    <row r="58" spans="1:7" x14ac:dyDescent="0.4">
      <c r="A58">
        <v>1038</v>
      </c>
      <c r="B58" s="4">
        <v>45449.61209490741</v>
      </c>
      <c r="C58" t="s">
        <v>43</v>
      </c>
      <c r="D58" t="s">
        <v>18</v>
      </c>
      <c r="E58">
        <v>1</v>
      </c>
      <c r="F58" s="5">
        <v>3.99</v>
      </c>
      <c r="G58" s="5">
        <v>3.99</v>
      </c>
    </row>
    <row r="59" spans="1:7" x14ac:dyDescent="0.4">
      <c r="A59">
        <v>1038</v>
      </c>
      <c r="B59" s="4">
        <v>45449.61209490741</v>
      </c>
      <c r="C59" t="s">
        <v>43</v>
      </c>
      <c r="D59" t="s">
        <v>22</v>
      </c>
      <c r="E59">
        <v>1</v>
      </c>
      <c r="F59" s="5">
        <v>4.95</v>
      </c>
      <c r="G59" s="5">
        <v>4.95</v>
      </c>
    </row>
    <row r="60" spans="1:7" x14ac:dyDescent="0.4">
      <c r="A60">
        <v>1038</v>
      </c>
      <c r="B60" s="4">
        <v>45449.61209490741</v>
      </c>
      <c r="C60" t="s">
        <v>43</v>
      </c>
      <c r="D60" t="s">
        <v>14</v>
      </c>
      <c r="E60">
        <v>1</v>
      </c>
      <c r="F60" s="5">
        <v>3.49</v>
      </c>
      <c r="G60" s="5">
        <v>3.49</v>
      </c>
    </row>
    <row r="61" spans="1:7" x14ac:dyDescent="0.4">
      <c r="A61">
        <v>1038</v>
      </c>
      <c r="B61" s="4">
        <v>45449.61209490741</v>
      </c>
      <c r="C61" t="s">
        <v>43</v>
      </c>
      <c r="D61" t="s">
        <v>20</v>
      </c>
      <c r="E61">
        <v>1</v>
      </c>
      <c r="F61" s="5">
        <v>4.95</v>
      </c>
      <c r="G61" s="5">
        <v>4.95</v>
      </c>
    </row>
    <row r="62" spans="1:7" x14ac:dyDescent="0.4">
      <c r="A62">
        <v>1038</v>
      </c>
      <c r="B62" s="4">
        <v>45449.61209490741</v>
      </c>
      <c r="C62" t="s">
        <v>43</v>
      </c>
      <c r="D62" t="s">
        <v>20</v>
      </c>
      <c r="E62">
        <v>1</v>
      </c>
      <c r="F62" s="5">
        <v>4.95</v>
      </c>
      <c r="G62" s="5">
        <v>4.95</v>
      </c>
    </row>
    <row r="63" spans="1:7" x14ac:dyDescent="0.4">
      <c r="A63">
        <v>1039</v>
      </c>
      <c r="B63" s="4">
        <v>45449.612870370373</v>
      </c>
      <c r="C63" t="s">
        <v>43</v>
      </c>
      <c r="D63" t="s">
        <v>45</v>
      </c>
      <c r="E63" t="s">
        <v>46</v>
      </c>
      <c r="F63" s="5" t="s">
        <v>4</v>
      </c>
      <c r="G63" s="5" t="s">
        <v>29</v>
      </c>
    </row>
    <row r="64" spans="1:7" x14ac:dyDescent="0.4">
      <c r="A64">
        <v>1039</v>
      </c>
      <c r="B64" s="4">
        <v>45449.612870370373</v>
      </c>
      <c r="C64" t="s">
        <v>43</v>
      </c>
    </row>
    <row r="65" spans="1:7" x14ac:dyDescent="0.4">
      <c r="A65">
        <v>1040</v>
      </c>
      <c r="B65" s="4">
        <v>45449.615567129629</v>
      </c>
      <c r="C65" t="s">
        <v>43</v>
      </c>
      <c r="D65" t="s">
        <v>20</v>
      </c>
      <c r="E65">
        <v>1</v>
      </c>
      <c r="F65" s="5">
        <v>4.95</v>
      </c>
      <c r="G65" s="5">
        <v>4.95</v>
      </c>
    </row>
    <row r="66" spans="1:7" x14ac:dyDescent="0.4">
      <c r="A66">
        <v>1040</v>
      </c>
      <c r="B66" s="4">
        <v>45449.615567129629</v>
      </c>
      <c r="C66" t="s">
        <v>43</v>
      </c>
      <c r="D66" t="s">
        <v>22</v>
      </c>
      <c r="E66">
        <v>1</v>
      </c>
      <c r="F66" s="5">
        <v>4.95</v>
      </c>
      <c r="G66" s="5">
        <v>4.95</v>
      </c>
    </row>
    <row r="67" spans="1:7" x14ac:dyDescent="0.4">
      <c r="A67">
        <v>1040</v>
      </c>
      <c r="B67" s="4">
        <v>45449.615567129629</v>
      </c>
      <c r="C67" t="s">
        <v>43</v>
      </c>
      <c r="D67" t="s">
        <v>14</v>
      </c>
      <c r="E67">
        <v>1</v>
      </c>
      <c r="F67" s="5">
        <v>3.49</v>
      </c>
      <c r="G67" s="5">
        <v>3.49</v>
      </c>
    </row>
    <row r="68" spans="1:7" x14ac:dyDescent="0.4">
      <c r="A68">
        <v>1040</v>
      </c>
      <c r="B68" s="4">
        <v>45449.615567129629</v>
      </c>
      <c r="C68" t="s">
        <v>43</v>
      </c>
      <c r="D68" t="s">
        <v>16</v>
      </c>
      <c r="E68">
        <v>1</v>
      </c>
      <c r="F68" s="5">
        <v>1.99</v>
      </c>
      <c r="G68" s="5">
        <v>1.99</v>
      </c>
    </row>
    <row r="69" spans="1:7" x14ac:dyDescent="0.4">
      <c r="A69">
        <v>1040</v>
      </c>
      <c r="B69" s="4">
        <v>45449.615567129629</v>
      </c>
      <c r="C69" t="s">
        <v>43</v>
      </c>
      <c r="D69" t="s">
        <v>14</v>
      </c>
      <c r="E69">
        <v>1</v>
      </c>
      <c r="F69" s="5">
        <v>3.49</v>
      </c>
      <c r="G69" s="5">
        <v>3.49</v>
      </c>
    </row>
    <row r="70" spans="1:7" x14ac:dyDescent="0.4">
      <c r="A70">
        <v>1040</v>
      </c>
      <c r="B70" s="4">
        <v>45449.615567129629</v>
      </c>
      <c r="C70" t="s">
        <v>43</v>
      </c>
      <c r="D70" t="s">
        <v>22</v>
      </c>
      <c r="E70">
        <v>1</v>
      </c>
      <c r="F70" s="5">
        <v>4.95</v>
      </c>
      <c r="G70" s="5">
        <v>4.95</v>
      </c>
    </row>
    <row r="71" spans="1:7" x14ac:dyDescent="0.4">
      <c r="A71">
        <v>1041</v>
      </c>
      <c r="B71" s="4">
        <v>45449.617094907408</v>
      </c>
      <c r="C71" t="s">
        <v>43</v>
      </c>
      <c r="D71" t="s">
        <v>20</v>
      </c>
      <c r="E71">
        <v>1</v>
      </c>
      <c r="F71" s="5">
        <v>4.95</v>
      </c>
      <c r="G71" s="5">
        <v>4.95</v>
      </c>
    </row>
    <row r="72" spans="1:7" x14ac:dyDescent="0.4">
      <c r="A72">
        <v>1041</v>
      </c>
      <c r="B72" s="4">
        <v>45449.617094907408</v>
      </c>
      <c r="C72" t="s">
        <v>43</v>
      </c>
      <c r="D72" t="s">
        <v>22</v>
      </c>
      <c r="E72">
        <v>1</v>
      </c>
      <c r="F72" s="5">
        <v>4.95</v>
      </c>
      <c r="G72" s="5">
        <v>4.95</v>
      </c>
    </row>
    <row r="73" spans="1:7" x14ac:dyDescent="0.4">
      <c r="A73">
        <v>1041</v>
      </c>
      <c r="B73" s="4">
        <v>45449.617094907408</v>
      </c>
      <c r="C73" t="s">
        <v>43</v>
      </c>
      <c r="D73" t="s">
        <v>16</v>
      </c>
      <c r="E73">
        <v>1</v>
      </c>
      <c r="F73" s="5">
        <v>1.99</v>
      </c>
      <c r="G73" s="5">
        <v>1.99</v>
      </c>
    </row>
    <row r="74" spans="1:7" x14ac:dyDescent="0.4">
      <c r="A74">
        <v>1041</v>
      </c>
      <c r="B74" s="4">
        <v>45449.617094907408</v>
      </c>
      <c r="C74" t="s">
        <v>43</v>
      </c>
      <c r="D74" t="s">
        <v>22</v>
      </c>
      <c r="E74">
        <v>1</v>
      </c>
      <c r="F74" s="5">
        <v>4.95</v>
      </c>
      <c r="G74" s="5">
        <v>4.95</v>
      </c>
    </row>
    <row r="75" spans="1:7" x14ac:dyDescent="0.4">
      <c r="A75">
        <v>1041</v>
      </c>
      <c r="B75" s="4">
        <v>45449.617094907408</v>
      </c>
      <c r="C75" t="s">
        <v>43</v>
      </c>
      <c r="D75" t="s">
        <v>12</v>
      </c>
      <c r="E75">
        <v>1</v>
      </c>
      <c r="F75" s="5">
        <v>1.95</v>
      </c>
      <c r="G75" s="5">
        <v>1.95</v>
      </c>
    </row>
    <row r="76" spans="1:7" x14ac:dyDescent="0.4">
      <c r="A76">
        <v>1041</v>
      </c>
      <c r="B76" s="4">
        <v>45449.617094907408</v>
      </c>
      <c r="C76" t="s">
        <v>43</v>
      </c>
      <c r="D76" t="s">
        <v>20</v>
      </c>
      <c r="E76">
        <v>1</v>
      </c>
      <c r="F76" s="5">
        <v>4.95</v>
      </c>
      <c r="G76" s="5">
        <v>4.95</v>
      </c>
    </row>
    <row r="77" spans="1:7" x14ac:dyDescent="0.4">
      <c r="A77">
        <v>1041</v>
      </c>
      <c r="B77" s="4">
        <v>45449.617094907408</v>
      </c>
      <c r="C77" t="s">
        <v>43</v>
      </c>
      <c r="D77" t="s">
        <v>10</v>
      </c>
      <c r="E77">
        <v>1</v>
      </c>
      <c r="F77" s="5">
        <v>5.99</v>
      </c>
      <c r="G77" s="5">
        <v>5.99</v>
      </c>
    </row>
    <row r="78" spans="1:7" x14ac:dyDescent="0.4">
      <c r="A78">
        <v>1042</v>
      </c>
      <c r="B78" s="4">
        <v>45449.630474537036</v>
      </c>
      <c r="C78" t="s">
        <v>43</v>
      </c>
      <c r="D78" t="s">
        <v>12</v>
      </c>
      <c r="E78">
        <v>1</v>
      </c>
      <c r="F78" s="5">
        <v>1.95</v>
      </c>
      <c r="G78" s="5">
        <v>1.95</v>
      </c>
    </row>
    <row r="79" spans="1:7" x14ac:dyDescent="0.4">
      <c r="A79">
        <v>1042</v>
      </c>
      <c r="B79" s="4">
        <v>45449.630474537036</v>
      </c>
      <c r="C79" t="s">
        <v>43</v>
      </c>
      <c r="D79" t="s">
        <v>16</v>
      </c>
      <c r="E79">
        <v>1</v>
      </c>
      <c r="F79" s="5">
        <v>1.99</v>
      </c>
      <c r="G79" s="5">
        <v>1.99</v>
      </c>
    </row>
    <row r="80" spans="1:7" x14ac:dyDescent="0.4">
      <c r="A80">
        <v>1042</v>
      </c>
      <c r="B80" s="4">
        <v>45449.630474537036</v>
      </c>
      <c r="C80" t="s">
        <v>43</v>
      </c>
      <c r="D80" t="s">
        <v>12</v>
      </c>
      <c r="E80">
        <v>1</v>
      </c>
      <c r="F80" s="5">
        <v>1.95</v>
      </c>
      <c r="G80" s="5">
        <v>1.95</v>
      </c>
    </row>
    <row r="81" spans="1:7" x14ac:dyDescent="0.4">
      <c r="A81">
        <v>1042</v>
      </c>
      <c r="B81" s="4">
        <v>45449.630474537036</v>
      </c>
      <c r="C81" t="s">
        <v>43</v>
      </c>
      <c r="D81" t="s">
        <v>20</v>
      </c>
      <c r="E81">
        <v>1</v>
      </c>
      <c r="F81" s="5">
        <v>4.95</v>
      </c>
      <c r="G81" s="5">
        <v>4.95</v>
      </c>
    </row>
    <row r="82" spans="1:7" x14ac:dyDescent="0.4">
      <c r="A82">
        <v>1042</v>
      </c>
      <c r="B82" s="4">
        <v>45449.630474537036</v>
      </c>
      <c r="C82" t="s">
        <v>43</v>
      </c>
      <c r="D82" t="s">
        <v>12</v>
      </c>
      <c r="E82">
        <v>1</v>
      </c>
      <c r="F82" s="5">
        <v>1.95</v>
      </c>
      <c r="G82" s="5">
        <v>1.95</v>
      </c>
    </row>
    <row r="83" spans="1:7" x14ac:dyDescent="0.4">
      <c r="A83">
        <v>1042</v>
      </c>
      <c r="B83" s="4">
        <v>45449.630474537036</v>
      </c>
      <c r="C83" t="s">
        <v>43</v>
      </c>
      <c r="D83" t="s">
        <v>6</v>
      </c>
      <c r="E83">
        <v>1</v>
      </c>
      <c r="F83" s="5">
        <v>2.99</v>
      </c>
      <c r="G83" s="5">
        <v>2.99</v>
      </c>
    </row>
    <row r="84" spans="1:7" x14ac:dyDescent="0.4">
      <c r="A84">
        <v>1042</v>
      </c>
      <c r="B84" s="4">
        <v>45449.630474537036</v>
      </c>
      <c r="C84" t="s">
        <v>43</v>
      </c>
      <c r="D84" t="s">
        <v>16</v>
      </c>
      <c r="E84">
        <v>1</v>
      </c>
      <c r="F84" s="5">
        <v>1.99</v>
      </c>
      <c r="G84" s="5">
        <v>1.99</v>
      </c>
    </row>
    <row r="85" spans="1:7" x14ac:dyDescent="0.4">
      <c r="A85">
        <v>1042</v>
      </c>
      <c r="B85" s="4">
        <v>45449.630474537036</v>
      </c>
      <c r="C85" t="s">
        <v>43</v>
      </c>
      <c r="D85" t="s">
        <v>16</v>
      </c>
      <c r="E85">
        <v>1</v>
      </c>
      <c r="F85" s="5">
        <v>1.99</v>
      </c>
      <c r="G85" s="5">
        <v>1.99</v>
      </c>
    </row>
    <row r="86" spans="1:7" x14ac:dyDescent="0.4">
      <c r="A86">
        <v>1042</v>
      </c>
      <c r="B86" s="4">
        <v>45449.630474537036</v>
      </c>
      <c r="C86" t="s">
        <v>43</v>
      </c>
      <c r="D86" t="s">
        <v>16</v>
      </c>
      <c r="E86">
        <v>1</v>
      </c>
      <c r="F86" s="5">
        <v>1.99</v>
      </c>
      <c r="G86" s="5">
        <v>1.99</v>
      </c>
    </row>
    <row r="87" spans="1:7" x14ac:dyDescent="0.4">
      <c r="A87">
        <v>1042</v>
      </c>
      <c r="B87" s="4">
        <v>45449.630474537036</v>
      </c>
      <c r="C87" t="s">
        <v>43</v>
      </c>
      <c r="D87" t="s">
        <v>12</v>
      </c>
      <c r="E87">
        <v>1</v>
      </c>
      <c r="F87" s="5">
        <v>1.95</v>
      </c>
      <c r="G87" s="5">
        <v>1.95</v>
      </c>
    </row>
    <row r="88" spans="1:7" x14ac:dyDescent="0.4">
      <c r="A88">
        <v>1042</v>
      </c>
      <c r="B88" s="4">
        <v>45449.630474537036</v>
      </c>
      <c r="C88" t="s">
        <v>43</v>
      </c>
      <c r="D88" t="s">
        <v>14</v>
      </c>
      <c r="E88">
        <v>1</v>
      </c>
      <c r="F88" s="5">
        <v>3.49</v>
      </c>
      <c r="G88" s="5">
        <v>3.49</v>
      </c>
    </row>
    <row r="89" spans="1:7" x14ac:dyDescent="0.4">
      <c r="A89">
        <v>1042</v>
      </c>
      <c r="B89" s="4">
        <v>45449.630474537036</v>
      </c>
      <c r="C89" t="s">
        <v>43</v>
      </c>
      <c r="D89" t="s">
        <v>16</v>
      </c>
      <c r="E89">
        <v>1</v>
      </c>
      <c r="F89" s="5">
        <v>1.99</v>
      </c>
      <c r="G89" s="5">
        <v>1.99</v>
      </c>
    </row>
    <row r="90" spans="1:7" x14ac:dyDescent="0.4">
      <c r="A90">
        <v>1042</v>
      </c>
      <c r="B90" s="4">
        <v>45449.630474537036</v>
      </c>
      <c r="C90" t="s">
        <v>43</v>
      </c>
      <c r="D90" t="s">
        <v>18</v>
      </c>
      <c r="E90">
        <v>1</v>
      </c>
      <c r="F90" s="5">
        <v>3.99</v>
      </c>
      <c r="G90" s="5">
        <v>3.99</v>
      </c>
    </row>
    <row r="91" spans="1:7" x14ac:dyDescent="0.4">
      <c r="A91">
        <v>1042</v>
      </c>
      <c r="B91" s="4">
        <v>45449.630474537036</v>
      </c>
      <c r="C91" t="s">
        <v>43</v>
      </c>
      <c r="D91" t="s">
        <v>6</v>
      </c>
      <c r="E91">
        <v>1</v>
      </c>
      <c r="F91" s="5">
        <v>2.99</v>
      </c>
      <c r="G91" s="5">
        <v>2.99</v>
      </c>
    </row>
    <row r="92" spans="1:7" x14ac:dyDescent="0.4">
      <c r="A92">
        <v>1043</v>
      </c>
      <c r="B92" s="4">
        <v>45449.765451388892</v>
      </c>
      <c r="C92" t="s">
        <v>43</v>
      </c>
      <c r="D92" t="s">
        <v>6</v>
      </c>
      <c r="E92">
        <v>1</v>
      </c>
      <c r="F92" s="5">
        <v>2.99</v>
      </c>
      <c r="G92">
        <v>2.99</v>
      </c>
    </row>
    <row r="93" spans="1:7" x14ac:dyDescent="0.4">
      <c r="A93">
        <v>1043</v>
      </c>
      <c r="B93" s="4">
        <v>45449.765451388892</v>
      </c>
      <c r="C93" t="s">
        <v>43</v>
      </c>
      <c r="D93" t="s">
        <v>8</v>
      </c>
      <c r="E93">
        <v>1</v>
      </c>
      <c r="F93" s="5">
        <v>0.99</v>
      </c>
      <c r="G93" s="5">
        <v>0.99</v>
      </c>
    </row>
    <row r="94" spans="1:7" x14ac:dyDescent="0.4">
      <c r="A94">
        <v>1043</v>
      </c>
      <c r="B94" s="4">
        <v>45449.765451388892</v>
      </c>
      <c r="C94" t="s">
        <v>43</v>
      </c>
      <c r="D94" t="s">
        <v>18</v>
      </c>
      <c r="E94">
        <v>1</v>
      </c>
      <c r="F94" s="5">
        <v>3.99</v>
      </c>
      <c r="G94">
        <v>3.99</v>
      </c>
    </row>
    <row r="95" spans="1:7" x14ac:dyDescent="0.4">
      <c r="A95">
        <v>1043</v>
      </c>
      <c r="B95" s="4">
        <v>45449.765451388892</v>
      </c>
      <c r="C95" t="s">
        <v>43</v>
      </c>
      <c r="D95" t="s">
        <v>20</v>
      </c>
      <c r="E95">
        <v>1</v>
      </c>
      <c r="F95" s="5">
        <v>4.95</v>
      </c>
      <c r="G95" s="5">
        <v>4.95</v>
      </c>
    </row>
    <row r="96" spans="1:7" x14ac:dyDescent="0.4">
      <c r="A96">
        <v>1043</v>
      </c>
      <c r="B96" s="4">
        <v>45449.765451388892</v>
      </c>
      <c r="C96" t="s">
        <v>43</v>
      </c>
      <c r="D96" t="s">
        <v>22</v>
      </c>
      <c r="E96">
        <v>1</v>
      </c>
      <c r="F96" s="5">
        <v>4.95</v>
      </c>
      <c r="G96" s="5">
        <v>4.95</v>
      </c>
    </row>
    <row r="97" spans="1:7" x14ac:dyDescent="0.4">
      <c r="A97">
        <v>1043</v>
      </c>
      <c r="B97" s="4">
        <v>45449.765451388892</v>
      </c>
      <c r="C97" t="s">
        <v>43</v>
      </c>
      <c r="D97" t="s">
        <v>14</v>
      </c>
      <c r="E97">
        <v>1</v>
      </c>
      <c r="F97" s="5">
        <v>3.49</v>
      </c>
      <c r="G97" s="5">
        <v>3.49</v>
      </c>
    </row>
    <row r="98" spans="1:7" x14ac:dyDescent="0.4">
      <c r="A98">
        <v>1043</v>
      </c>
      <c r="B98" s="4">
        <v>45449.765451388892</v>
      </c>
      <c r="C98" t="s">
        <v>43</v>
      </c>
      <c r="D98" t="s">
        <v>12</v>
      </c>
      <c r="E98">
        <v>1</v>
      </c>
      <c r="F98" s="5">
        <v>1.95</v>
      </c>
      <c r="G98" s="5">
        <v>1.95</v>
      </c>
    </row>
    <row r="99" spans="1:7" x14ac:dyDescent="0.4">
      <c r="A99">
        <v>1043</v>
      </c>
      <c r="B99" s="4">
        <v>45449.765451388892</v>
      </c>
      <c r="C99" t="s">
        <v>43</v>
      </c>
      <c r="D99" t="s">
        <v>16</v>
      </c>
      <c r="E99">
        <v>1</v>
      </c>
      <c r="F99" s="5">
        <v>1.99</v>
      </c>
      <c r="G99" s="5">
        <v>1.99</v>
      </c>
    </row>
    <row r="100" spans="1:7" x14ac:dyDescent="0.4">
      <c r="A100">
        <v>1043</v>
      </c>
      <c r="B100" s="4">
        <v>45449.765451388892</v>
      </c>
      <c r="C100" t="s">
        <v>43</v>
      </c>
      <c r="D100" t="s">
        <v>8</v>
      </c>
      <c r="E100">
        <v>1</v>
      </c>
      <c r="F100" s="5">
        <v>0.99</v>
      </c>
      <c r="G100" s="5">
        <v>0.99</v>
      </c>
    </row>
    <row r="101" spans="1:7" x14ac:dyDescent="0.4">
      <c r="A101">
        <v>1043</v>
      </c>
      <c r="B101" s="4">
        <v>45449.765451388892</v>
      </c>
      <c r="C101" t="s">
        <v>43</v>
      </c>
      <c r="D101" t="s">
        <v>8</v>
      </c>
      <c r="E101">
        <v>1</v>
      </c>
      <c r="F101" s="5">
        <v>0.99</v>
      </c>
      <c r="G101" s="5">
        <v>0.99</v>
      </c>
    </row>
    <row r="102" spans="1:7" x14ac:dyDescent="0.4">
      <c r="A102">
        <v>1043</v>
      </c>
      <c r="B102" s="4">
        <v>45449.765451388892</v>
      </c>
      <c r="C102" t="s">
        <v>43</v>
      </c>
      <c r="D102" t="s">
        <v>6</v>
      </c>
      <c r="E102">
        <v>1</v>
      </c>
      <c r="F102" s="5">
        <v>2.99</v>
      </c>
      <c r="G102" s="5">
        <v>2.99</v>
      </c>
    </row>
    <row r="103" spans="1:7" x14ac:dyDescent="0.4">
      <c r="A103">
        <v>1043</v>
      </c>
      <c r="B103" s="4">
        <v>45449.765451388892</v>
      </c>
      <c r="C103" t="s">
        <v>43</v>
      </c>
      <c r="D103" t="s">
        <v>10</v>
      </c>
      <c r="E103">
        <v>1</v>
      </c>
      <c r="F103" s="5">
        <v>5.99</v>
      </c>
      <c r="G103" s="5">
        <v>5.99</v>
      </c>
    </row>
    <row r="104" spans="1:7" x14ac:dyDescent="0.4">
      <c r="A104">
        <v>1043</v>
      </c>
      <c r="B104" s="4">
        <v>45449.765451388892</v>
      </c>
      <c r="C104" t="s">
        <v>43</v>
      </c>
      <c r="D104" t="s">
        <v>18</v>
      </c>
      <c r="E104">
        <v>1</v>
      </c>
      <c r="F104" s="5">
        <v>3.99</v>
      </c>
      <c r="G104" s="5">
        <v>3.99</v>
      </c>
    </row>
    <row r="105" spans="1:7" x14ac:dyDescent="0.4">
      <c r="A105">
        <v>1043</v>
      </c>
      <c r="B105" s="4">
        <v>45449.765451388892</v>
      </c>
      <c r="C105" t="s">
        <v>43</v>
      </c>
      <c r="D105" t="s">
        <v>20</v>
      </c>
      <c r="E105">
        <v>1</v>
      </c>
      <c r="F105" s="5">
        <v>4.95</v>
      </c>
      <c r="G105" s="5">
        <v>4.95</v>
      </c>
    </row>
    <row r="106" spans="1:7" x14ac:dyDescent="0.4">
      <c r="A106">
        <v>1043</v>
      </c>
      <c r="B106" s="4">
        <v>45449.765451388892</v>
      </c>
      <c r="C106" t="s">
        <v>43</v>
      </c>
      <c r="D106" t="s">
        <v>22</v>
      </c>
      <c r="E106">
        <v>1</v>
      </c>
      <c r="F106" s="5">
        <v>4.95</v>
      </c>
      <c r="G106" s="5">
        <v>4.95</v>
      </c>
    </row>
    <row r="107" spans="1:7" x14ac:dyDescent="0.4">
      <c r="A107">
        <v>1043</v>
      </c>
      <c r="B107" s="4">
        <v>45449.765451388892</v>
      </c>
      <c r="C107" t="s">
        <v>43</v>
      </c>
      <c r="D107" t="s">
        <v>12</v>
      </c>
      <c r="E107">
        <v>1</v>
      </c>
      <c r="F107" s="5">
        <v>1.95</v>
      </c>
      <c r="G107" s="5">
        <v>1.95</v>
      </c>
    </row>
    <row r="108" spans="1:7" x14ac:dyDescent="0.4">
      <c r="A108">
        <v>1043</v>
      </c>
      <c r="B108" s="4">
        <v>45449.765451388892</v>
      </c>
      <c r="C108" t="s">
        <v>43</v>
      </c>
      <c r="D108" t="s">
        <v>14</v>
      </c>
      <c r="E108">
        <v>1</v>
      </c>
      <c r="F108" s="5">
        <v>3.49</v>
      </c>
      <c r="G108" s="5">
        <v>3.49</v>
      </c>
    </row>
    <row r="109" spans="1:7" x14ac:dyDescent="0.4">
      <c r="A109">
        <v>1043</v>
      </c>
      <c r="B109" s="4">
        <v>45449.765451388892</v>
      </c>
      <c r="C109" t="s">
        <v>43</v>
      </c>
      <c r="D109" t="s">
        <v>10</v>
      </c>
      <c r="E109">
        <v>1</v>
      </c>
      <c r="F109" s="5">
        <v>5.99</v>
      </c>
      <c r="G109" s="5">
        <v>5.99</v>
      </c>
    </row>
    <row r="110" spans="1:7" x14ac:dyDescent="0.4">
      <c r="A110">
        <v>1043</v>
      </c>
      <c r="B110" s="4">
        <v>45449.765451388892</v>
      </c>
      <c r="C110" t="s">
        <v>43</v>
      </c>
      <c r="D110" t="s">
        <v>14</v>
      </c>
      <c r="E110">
        <v>1</v>
      </c>
      <c r="F110" s="5">
        <v>3.49</v>
      </c>
      <c r="G110" s="5">
        <v>3.49</v>
      </c>
    </row>
    <row r="111" spans="1:7" x14ac:dyDescent="0.4">
      <c r="A111">
        <v>1044</v>
      </c>
      <c r="B111" s="4">
        <v>45449.765532407408</v>
      </c>
      <c r="C111" t="s">
        <v>43</v>
      </c>
      <c r="D111" t="s">
        <v>45</v>
      </c>
      <c r="E111" t="s">
        <v>46</v>
      </c>
      <c r="F111" s="5" t="s">
        <v>4</v>
      </c>
      <c r="G111" t="s">
        <v>29</v>
      </c>
    </row>
    <row r="112" spans="1:7" x14ac:dyDescent="0.4">
      <c r="A112">
        <v>1044</v>
      </c>
      <c r="B112" s="4">
        <v>45449.765532407408</v>
      </c>
      <c r="C112" t="s">
        <v>43</v>
      </c>
    </row>
    <row r="113" spans="1:7" x14ac:dyDescent="0.4">
      <c r="A113">
        <v>1045</v>
      </c>
      <c r="B113" s="4">
        <v>45449.76666666667</v>
      </c>
      <c r="C113" t="s">
        <v>43</v>
      </c>
      <c r="D113" t="s">
        <v>10</v>
      </c>
      <c r="E113">
        <v>1</v>
      </c>
      <c r="F113" s="5">
        <v>5.99</v>
      </c>
      <c r="G113">
        <v>5.99</v>
      </c>
    </row>
    <row r="114" spans="1:7" x14ac:dyDescent="0.4">
      <c r="A114">
        <v>1045</v>
      </c>
      <c r="B114" s="4">
        <v>45449.76666666667</v>
      </c>
      <c r="C114" t="s">
        <v>43</v>
      </c>
      <c r="D114" t="s">
        <v>22</v>
      </c>
      <c r="E114">
        <v>1</v>
      </c>
      <c r="F114" s="5">
        <v>4.95</v>
      </c>
      <c r="G114" s="5">
        <v>4.95</v>
      </c>
    </row>
    <row r="115" spans="1:7" x14ac:dyDescent="0.4">
      <c r="A115">
        <v>1045</v>
      </c>
      <c r="B115" s="4">
        <v>45449.76666666667</v>
      </c>
      <c r="C115" t="s">
        <v>43</v>
      </c>
      <c r="D115" t="s">
        <v>20</v>
      </c>
      <c r="E115">
        <v>1</v>
      </c>
      <c r="F115" s="5">
        <v>4.95</v>
      </c>
      <c r="G115">
        <v>4.95</v>
      </c>
    </row>
    <row r="116" spans="1:7" x14ac:dyDescent="0.4">
      <c r="A116">
        <v>1045</v>
      </c>
      <c r="B116" s="4">
        <v>45449.76666666667</v>
      </c>
      <c r="C116" t="s">
        <v>43</v>
      </c>
      <c r="D116" t="s">
        <v>22</v>
      </c>
      <c r="E116">
        <v>1</v>
      </c>
      <c r="F116" s="5">
        <v>4.95</v>
      </c>
      <c r="G116" s="5">
        <v>4.95</v>
      </c>
    </row>
    <row r="117" spans="1:7" x14ac:dyDescent="0.4">
      <c r="A117">
        <v>1046</v>
      </c>
      <c r="B117" s="4">
        <v>45449.775081018517</v>
      </c>
      <c r="C117" t="s">
        <v>43</v>
      </c>
      <c r="D117" t="s">
        <v>18</v>
      </c>
      <c r="E117">
        <v>1</v>
      </c>
      <c r="F117" s="5">
        <v>3.99</v>
      </c>
      <c r="G117">
        <v>3.99</v>
      </c>
    </row>
    <row r="118" spans="1:7" x14ac:dyDescent="0.4">
      <c r="A118">
        <v>1046</v>
      </c>
      <c r="B118" s="4">
        <v>45449.775081018517</v>
      </c>
      <c r="C118" t="s">
        <v>43</v>
      </c>
      <c r="D118" t="s">
        <v>22</v>
      </c>
      <c r="E118">
        <v>1</v>
      </c>
      <c r="F118" s="5">
        <v>4.95</v>
      </c>
      <c r="G118" s="5">
        <v>4.95</v>
      </c>
    </row>
    <row r="119" spans="1:7" x14ac:dyDescent="0.4">
      <c r="A119">
        <v>1046</v>
      </c>
      <c r="B119" s="4">
        <v>45449.775081018517</v>
      </c>
      <c r="C119" t="s">
        <v>43</v>
      </c>
      <c r="D119" t="s">
        <v>8</v>
      </c>
      <c r="E119">
        <v>1</v>
      </c>
      <c r="F119" s="5">
        <v>0.99</v>
      </c>
      <c r="G119">
        <v>0.99</v>
      </c>
    </row>
    <row r="120" spans="1:7" x14ac:dyDescent="0.4">
      <c r="A120">
        <v>1046</v>
      </c>
      <c r="B120" s="4">
        <v>45449.775081018517</v>
      </c>
      <c r="C120" t="s">
        <v>43</v>
      </c>
      <c r="D120" t="s">
        <v>22</v>
      </c>
      <c r="E120">
        <v>1</v>
      </c>
      <c r="F120" s="5">
        <v>4.95</v>
      </c>
      <c r="G120" s="5">
        <v>4.95</v>
      </c>
    </row>
    <row r="121" spans="1:7" x14ac:dyDescent="0.4">
      <c r="A121">
        <v>1046</v>
      </c>
      <c r="B121" s="4">
        <v>45449.775081018517</v>
      </c>
      <c r="C121" t="s">
        <v>43</v>
      </c>
      <c r="D121" t="s">
        <v>14</v>
      </c>
      <c r="E121">
        <v>1</v>
      </c>
      <c r="F121" s="5">
        <v>3.49</v>
      </c>
      <c r="G121" s="5">
        <v>3.49</v>
      </c>
    </row>
    <row r="122" spans="1:7" x14ac:dyDescent="0.4">
      <c r="A122">
        <v>1046</v>
      </c>
      <c r="B122" s="4">
        <v>45449.775081018517</v>
      </c>
      <c r="C122" t="s">
        <v>43</v>
      </c>
      <c r="D122" t="s">
        <v>12</v>
      </c>
      <c r="E122">
        <v>1</v>
      </c>
      <c r="F122" s="5">
        <v>1.95</v>
      </c>
      <c r="G122" s="5">
        <v>1.95</v>
      </c>
    </row>
    <row r="123" spans="1:7" x14ac:dyDescent="0.4">
      <c r="A123">
        <v>1046</v>
      </c>
      <c r="B123" s="4">
        <v>45449.775081018517</v>
      </c>
      <c r="C123" t="s">
        <v>43</v>
      </c>
      <c r="D123" t="s">
        <v>10</v>
      </c>
      <c r="E123">
        <v>1</v>
      </c>
      <c r="F123" s="5">
        <v>5.99</v>
      </c>
      <c r="G123" s="5">
        <v>5.99</v>
      </c>
    </row>
    <row r="124" spans="1:7" x14ac:dyDescent="0.4">
      <c r="A124">
        <v>1046</v>
      </c>
      <c r="B124" s="4">
        <v>45449.775081018517</v>
      </c>
      <c r="C124" t="s">
        <v>43</v>
      </c>
      <c r="D124" t="s">
        <v>14</v>
      </c>
      <c r="E124">
        <v>1</v>
      </c>
      <c r="F124" s="5">
        <v>3.49</v>
      </c>
      <c r="G124" s="5">
        <v>3.49</v>
      </c>
    </row>
    <row r="125" spans="1:7" x14ac:dyDescent="0.4">
      <c r="A125">
        <v>1046</v>
      </c>
      <c r="B125" s="4">
        <v>45449.775081018517</v>
      </c>
      <c r="C125" t="s">
        <v>43</v>
      </c>
      <c r="D125" t="s">
        <v>12</v>
      </c>
      <c r="E125">
        <v>1</v>
      </c>
      <c r="F125" s="5">
        <v>1.95</v>
      </c>
      <c r="G125" s="5">
        <v>1.95</v>
      </c>
    </row>
    <row r="126" spans="1:7" x14ac:dyDescent="0.4">
      <c r="A126">
        <v>1046</v>
      </c>
      <c r="B126" s="4">
        <v>45449.775081018517</v>
      </c>
      <c r="C126" t="s">
        <v>43</v>
      </c>
      <c r="D126" t="s">
        <v>8</v>
      </c>
      <c r="E126">
        <v>1</v>
      </c>
      <c r="F126" s="5">
        <v>0.99</v>
      </c>
      <c r="G126" s="5">
        <v>0.99</v>
      </c>
    </row>
    <row r="127" spans="1:7" x14ac:dyDescent="0.4">
      <c r="A127">
        <v>1046</v>
      </c>
      <c r="B127" s="4">
        <v>45449.775081018517</v>
      </c>
      <c r="C127" t="s">
        <v>43</v>
      </c>
      <c r="D127" t="s">
        <v>10</v>
      </c>
      <c r="E127">
        <v>1</v>
      </c>
      <c r="F127" s="5">
        <v>5.99</v>
      </c>
      <c r="G127" s="5">
        <v>5.99</v>
      </c>
    </row>
    <row r="128" spans="1:7" x14ac:dyDescent="0.4">
      <c r="A128">
        <v>1046</v>
      </c>
      <c r="B128" s="4">
        <v>45449.775081018517</v>
      </c>
      <c r="C128" t="s">
        <v>43</v>
      </c>
      <c r="D128" t="s">
        <v>12</v>
      </c>
      <c r="E128">
        <v>1</v>
      </c>
      <c r="F128" s="5">
        <v>1.95</v>
      </c>
      <c r="G128" s="5">
        <v>1.95</v>
      </c>
    </row>
    <row r="129" spans="1:7" x14ac:dyDescent="0.4">
      <c r="A129">
        <v>1046</v>
      </c>
      <c r="B129" s="4">
        <v>45449.775081018517</v>
      </c>
      <c r="C129" t="s">
        <v>43</v>
      </c>
      <c r="D129" t="s">
        <v>18</v>
      </c>
      <c r="E129">
        <v>1</v>
      </c>
      <c r="F129" s="5">
        <v>3.99</v>
      </c>
      <c r="G129" s="5">
        <v>3.99</v>
      </c>
    </row>
    <row r="130" spans="1:7" x14ac:dyDescent="0.4">
      <c r="A130">
        <v>1046</v>
      </c>
      <c r="B130" s="4">
        <v>45449.775081018517</v>
      </c>
      <c r="C130" t="s">
        <v>43</v>
      </c>
      <c r="D130" t="s">
        <v>14</v>
      </c>
      <c r="E130">
        <v>1</v>
      </c>
      <c r="F130" s="5">
        <v>3.49</v>
      </c>
      <c r="G130" s="5">
        <v>3.49</v>
      </c>
    </row>
    <row r="131" spans="1:7" x14ac:dyDescent="0.4">
      <c r="A131">
        <v>1046</v>
      </c>
      <c r="B131" s="4">
        <v>45449.775081018517</v>
      </c>
      <c r="C131" t="s">
        <v>43</v>
      </c>
      <c r="D131" t="s">
        <v>10</v>
      </c>
      <c r="E131">
        <v>1</v>
      </c>
      <c r="F131" s="5">
        <v>5.99</v>
      </c>
      <c r="G131" s="5">
        <v>5.99</v>
      </c>
    </row>
    <row r="132" spans="1:7" x14ac:dyDescent="0.4">
      <c r="A132">
        <v>1046</v>
      </c>
      <c r="B132" s="4">
        <v>45449.775081018517</v>
      </c>
      <c r="C132" t="s">
        <v>43</v>
      </c>
      <c r="D132" t="s">
        <v>12</v>
      </c>
      <c r="E132">
        <v>1</v>
      </c>
      <c r="F132" s="5">
        <v>1.95</v>
      </c>
      <c r="G132" s="5">
        <v>1.95</v>
      </c>
    </row>
    <row r="133" spans="1:7" x14ac:dyDescent="0.4">
      <c r="A133">
        <v>1046</v>
      </c>
      <c r="B133" s="4">
        <v>45449.775081018517</v>
      </c>
      <c r="C133" t="s">
        <v>43</v>
      </c>
      <c r="D133" t="s">
        <v>8</v>
      </c>
      <c r="E133">
        <v>1</v>
      </c>
      <c r="F133" s="5">
        <v>0.99</v>
      </c>
      <c r="G133" s="5">
        <v>0.99</v>
      </c>
    </row>
    <row r="134" spans="1:7" x14ac:dyDescent="0.4">
      <c r="A134">
        <v>1046</v>
      </c>
      <c r="B134" s="4">
        <v>45449.775081018517</v>
      </c>
      <c r="C134" t="s">
        <v>43</v>
      </c>
      <c r="D134" t="s">
        <v>12</v>
      </c>
      <c r="E134">
        <v>1</v>
      </c>
      <c r="F134" s="5">
        <v>1.95</v>
      </c>
      <c r="G134" s="5">
        <v>1.95</v>
      </c>
    </row>
    <row r="135" spans="1:7" x14ac:dyDescent="0.4">
      <c r="A135">
        <v>1046</v>
      </c>
      <c r="B135" s="4">
        <v>45449.775081018517</v>
      </c>
      <c r="C135" t="s">
        <v>43</v>
      </c>
      <c r="D135" t="s">
        <v>6</v>
      </c>
      <c r="E135">
        <v>1</v>
      </c>
      <c r="F135" s="5">
        <v>2.99</v>
      </c>
      <c r="G135">
        <v>2.99</v>
      </c>
    </row>
    <row r="136" spans="1:7" x14ac:dyDescent="0.4">
      <c r="A136">
        <v>1046</v>
      </c>
      <c r="B136" s="4">
        <v>45449.775081018517</v>
      </c>
      <c r="C136" t="s">
        <v>43</v>
      </c>
      <c r="D136" t="s">
        <v>8</v>
      </c>
      <c r="E136">
        <v>1</v>
      </c>
      <c r="F136" s="5">
        <v>0.99</v>
      </c>
      <c r="G136">
        <v>0.99</v>
      </c>
    </row>
    <row r="137" spans="1:7" x14ac:dyDescent="0.4">
      <c r="A137">
        <v>1046</v>
      </c>
      <c r="B137" s="4">
        <v>45449.775081018517</v>
      </c>
      <c r="C137" t="s">
        <v>43</v>
      </c>
      <c r="D137" t="s">
        <v>10</v>
      </c>
      <c r="E137">
        <v>1</v>
      </c>
      <c r="F137" s="5">
        <v>5.99</v>
      </c>
      <c r="G137">
        <v>5.99</v>
      </c>
    </row>
    <row r="138" spans="1:7" x14ac:dyDescent="0.4">
      <c r="A138">
        <v>1046</v>
      </c>
      <c r="B138" s="4">
        <v>45449.775081018517</v>
      </c>
      <c r="C138" t="s">
        <v>43</v>
      </c>
      <c r="D138" t="s">
        <v>16</v>
      </c>
      <c r="E138">
        <v>1</v>
      </c>
      <c r="F138" s="5">
        <v>1.99</v>
      </c>
      <c r="G138">
        <v>1.99</v>
      </c>
    </row>
    <row r="139" spans="1:7" x14ac:dyDescent="0.4">
      <c r="A139">
        <v>1046</v>
      </c>
      <c r="B139" s="4">
        <v>45449.775081018517</v>
      </c>
      <c r="C139" t="s">
        <v>43</v>
      </c>
      <c r="D139" t="s">
        <v>18</v>
      </c>
      <c r="E139">
        <v>1</v>
      </c>
      <c r="F139" s="5">
        <v>3.99</v>
      </c>
      <c r="G139">
        <v>3.99</v>
      </c>
    </row>
    <row r="140" spans="1:7" x14ac:dyDescent="0.4">
      <c r="A140">
        <v>1046</v>
      </c>
      <c r="B140" s="4">
        <v>45449.775081018517</v>
      </c>
      <c r="C140" t="s">
        <v>43</v>
      </c>
      <c r="D140" t="s">
        <v>22</v>
      </c>
      <c r="E140">
        <v>1</v>
      </c>
      <c r="F140" s="5">
        <v>4.95</v>
      </c>
      <c r="G140">
        <v>4.95</v>
      </c>
    </row>
    <row r="141" spans="1:7" x14ac:dyDescent="0.4">
      <c r="A141">
        <v>1046</v>
      </c>
      <c r="B141" s="4">
        <v>45449.775081018517</v>
      </c>
      <c r="C141" t="s">
        <v>43</v>
      </c>
      <c r="D141" t="s">
        <v>6</v>
      </c>
      <c r="E141">
        <v>1</v>
      </c>
      <c r="F141" s="5">
        <v>2.99</v>
      </c>
      <c r="G141">
        <v>2.99</v>
      </c>
    </row>
    <row r="142" spans="1:7" x14ac:dyDescent="0.4">
      <c r="A142">
        <v>1046</v>
      </c>
      <c r="B142" s="4">
        <v>45449.775081018517</v>
      </c>
      <c r="C142" t="s">
        <v>43</v>
      </c>
      <c r="D142" t="s">
        <v>14</v>
      </c>
      <c r="E142">
        <v>1</v>
      </c>
      <c r="F142" s="5">
        <v>3.49</v>
      </c>
      <c r="G142">
        <v>3.49</v>
      </c>
    </row>
    <row r="143" spans="1:7" x14ac:dyDescent="0.4">
      <c r="A143">
        <v>1046</v>
      </c>
      <c r="B143" s="4">
        <v>45449.775081018517</v>
      </c>
      <c r="C143" t="s">
        <v>43</v>
      </c>
      <c r="D143" t="s">
        <v>22</v>
      </c>
      <c r="E143">
        <v>1</v>
      </c>
      <c r="F143" s="5">
        <v>4.95</v>
      </c>
      <c r="G143">
        <v>4.95</v>
      </c>
    </row>
    <row r="144" spans="1:7" x14ac:dyDescent="0.4">
      <c r="A144">
        <v>1047</v>
      </c>
      <c r="B144" s="4">
        <v>45449.779224537036</v>
      </c>
      <c r="C144" t="s">
        <v>43</v>
      </c>
      <c r="D144" t="s">
        <v>6</v>
      </c>
      <c r="E144">
        <v>1</v>
      </c>
      <c r="F144" s="5">
        <v>2.99</v>
      </c>
      <c r="G144">
        <v>2.99</v>
      </c>
    </row>
    <row r="145" spans="1:7" x14ac:dyDescent="0.4">
      <c r="A145">
        <v>1047</v>
      </c>
      <c r="B145" s="4">
        <v>45449.779224537036</v>
      </c>
      <c r="C145" t="s">
        <v>43</v>
      </c>
      <c r="D145" t="s">
        <v>16</v>
      </c>
      <c r="E145">
        <v>1</v>
      </c>
      <c r="F145" s="5">
        <v>1.99</v>
      </c>
      <c r="G145" s="5">
        <v>1.99</v>
      </c>
    </row>
    <row r="146" spans="1:7" x14ac:dyDescent="0.4">
      <c r="A146">
        <v>1047</v>
      </c>
      <c r="B146" s="4">
        <v>45449.779224537036</v>
      </c>
      <c r="C146" t="s">
        <v>43</v>
      </c>
      <c r="D146" t="s">
        <v>22</v>
      </c>
      <c r="E146">
        <v>1</v>
      </c>
      <c r="F146" s="5">
        <v>4.95</v>
      </c>
      <c r="G146">
        <v>4.95</v>
      </c>
    </row>
    <row r="147" spans="1:7" x14ac:dyDescent="0.4">
      <c r="A147">
        <v>1047</v>
      </c>
      <c r="B147" s="4">
        <v>45449.779224537036</v>
      </c>
      <c r="C147" t="s">
        <v>43</v>
      </c>
      <c r="D147" t="s">
        <v>20</v>
      </c>
      <c r="E147">
        <v>1</v>
      </c>
      <c r="F147" s="5">
        <v>4.95</v>
      </c>
      <c r="G147" s="5">
        <v>4.95</v>
      </c>
    </row>
    <row r="148" spans="1:7" x14ac:dyDescent="0.4">
      <c r="A148">
        <v>1047</v>
      </c>
      <c r="B148" s="4">
        <v>45449.779224537036</v>
      </c>
      <c r="C148" t="s">
        <v>43</v>
      </c>
      <c r="D148" t="s">
        <v>10</v>
      </c>
      <c r="E148">
        <v>1</v>
      </c>
      <c r="F148" s="5">
        <v>5.99</v>
      </c>
      <c r="G148" s="5">
        <v>5.99</v>
      </c>
    </row>
    <row r="149" spans="1:7" x14ac:dyDescent="0.4">
      <c r="A149">
        <v>1047</v>
      </c>
      <c r="B149" s="4">
        <v>45449.779224537036</v>
      </c>
      <c r="C149" t="s">
        <v>43</v>
      </c>
      <c r="D149" t="s">
        <v>18</v>
      </c>
      <c r="E149">
        <v>1</v>
      </c>
      <c r="F149" s="5">
        <v>3.99</v>
      </c>
      <c r="G149" s="5">
        <v>3.99</v>
      </c>
    </row>
    <row r="150" spans="1:7" x14ac:dyDescent="0.4">
      <c r="A150">
        <v>1047</v>
      </c>
      <c r="B150" s="4">
        <v>45449.779224537036</v>
      </c>
      <c r="C150" t="s">
        <v>43</v>
      </c>
      <c r="D150" t="s">
        <v>20</v>
      </c>
      <c r="E150">
        <v>1</v>
      </c>
      <c r="F150" s="5">
        <v>4.95</v>
      </c>
      <c r="G150" s="5">
        <v>4.95</v>
      </c>
    </row>
    <row r="151" spans="1:7" x14ac:dyDescent="0.4">
      <c r="A151">
        <v>1047</v>
      </c>
      <c r="B151" s="4">
        <v>45449.779224537036</v>
      </c>
      <c r="C151" t="s">
        <v>43</v>
      </c>
      <c r="D151" t="s">
        <v>18</v>
      </c>
      <c r="E151">
        <v>1</v>
      </c>
      <c r="F151" s="5">
        <v>3.99</v>
      </c>
      <c r="G151" s="5">
        <v>3.99</v>
      </c>
    </row>
    <row r="152" spans="1:7" x14ac:dyDescent="0.4">
      <c r="A152">
        <v>1048</v>
      </c>
      <c r="B152" s="4">
        <v>45449.785243055558</v>
      </c>
      <c r="C152" t="s">
        <v>43</v>
      </c>
      <c r="D152" t="s">
        <v>14</v>
      </c>
      <c r="E152">
        <v>1</v>
      </c>
      <c r="F152" s="5">
        <v>3.49</v>
      </c>
      <c r="G152">
        <v>3.49</v>
      </c>
    </row>
    <row r="153" spans="1:7" x14ac:dyDescent="0.4">
      <c r="A153">
        <v>1048</v>
      </c>
      <c r="B153" s="4">
        <v>45449.785243055558</v>
      </c>
      <c r="C153" t="s">
        <v>43</v>
      </c>
      <c r="D153" t="s">
        <v>18</v>
      </c>
      <c r="E153">
        <v>1</v>
      </c>
      <c r="F153" s="5">
        <v>3.99</v>
      </c>
      <c r="G153" s="5">
        <v>3.99</v>
      </c>
    </row>
    <row r="154" spans="1:7" x14ac:dyDescent="0.4">
      <c r="A154">
        <v>1048</v>
      </c>
      <c r="B154" s="4">
        <v>45449.785243055558</v>
      </c>
      <c r="C154" t="s">
        <v>43</v>
      </c>
      <c r="D154" t="s">
        <v>8</v>
      </c>
      <c r="E154">
        <v>1</v>
      </c>
      <c r="F154" s="5">
        <v>0.99</v>
      </c>
      <c r="G154">
        <v>0.99</v>
      </c>
    </row>
    <row r="155" spans="1:7" x14ac:dyDescent="0.4">
      <c r="A155">
        <v>1048</v>
      </c>
      <c r="B155" s="4">
        <v>45449.785243055558</v>
      </c>
      <c r="C155" t="s">
        <v>43</v>
      </c>
      <c r="D155" t="s">
        <v>14</v>
      </c>
      <c r="E155">
        <v>1</v>
      </c>
      <c r="F155" s="5">
        <v>3.49</v>
      </c>
      <c r="G155" s="5">
        <v>3.49</v>
      </c>
    </row>
    <row r="156" spans="1:7" x14ac:dyDescent="0.4">
      <c r="A156">
        <v>1048</v>
      </c>
      <c r="B156" s="4">
        <v>45449.785243055558</v>
      </c>
      <c r="C156" t="s">
        <v>43</v>
      </c>
      <c r="D156" t="s">
        <v>12</v>
      </c>
      <c r="E156">
        <v>1</v>
      </c>
      <c r="F156" s="5">
        <v>1.95</v>
      </c>
      <c r="G156" s="5">
        <v>1.95</v>
      </c>
    </row>
    <row r="157" spans="1:7" x14ac:dyDescent="0.4">
      <c r="A157">
        <v>1048</v>
      </c>
      <c r="B157" s="4">
        <v>45449.785243055558</v>
      </c>
      <c r="C157" t="s">
        <v>43</v>
      </c>
      <c r="D157" t="s">
        <v>16</v>
      </c>
      <c r="E157">
        <v>1</v>
      </c>
      <c r="F157" s="5">
        <v>1.99</v>
      </c>
      <c r="G157" s="5">
        <v>1.99</v>
      </c>
    </row>
    <row r="158" spans="1:7" x14ac:dyDescent="0.4">
      <c r="A158">
        <v>1048</v>
      </c>
      <c r="B158" s="4">
        <v>45449.785243055558</v>
      </c>
      <c r="C158" t="s">
        <v>43</v>
      </c>
      <c r="D158" t="s">
        <v>14</v>
      </c>
      <c r="E158">
        <v>1</v>
      </c>
      <c r="F158" s="5">
        <v>3.49</v>
      </c>
      <c r="G158" s="5">
        <v>3.49</v>
      </c>
    </row>
    <row r="159" spans="1:7" x14ac:dyDescent="0.4">
      <c r="A159">
        <v>1048</v>
      </c>
      <c r="B159" s="4">
        <v>45449.785243055558</v>
      </c>
      <c r="C159" t="s">
        <v>43</v>
      </c>
      <c r="D159" t="s">
        <v>12</v>
      </c>
      <c r="E159">
        <v>1</v>
      </c>
      <c r="F159" s="5">
        <v>1.95</v>
      </c>
      <c r="G159" s="5">
        <v>1.95</v>
      </c>
    </row>
    <row r="160" spans="1:7" x14ac:dyDescent="0.4">
      <c r="A160">
        <v>1048</v>
      </c>
      <c r="B160" s="4">
        <v>45449.785243055558</v>
      </c>
      <c r="C160" t="s">
        <v>43</v>
      </c>
      <c r="D160" t="s">
        <v>16</v>
      </c>
      <c r="E160">
        <v>1</v>
      </c>
      <c r="F160" s="5">
        <v>1.99</v>
      </c>
      <c r="G160" s="5">
        <v>1.99</v>
      </c>
    </row>
    <row r="161" spans="1:7" x14ac:dyDescent="0.4">
      <c r="A161">
        <v>1048</v>
      </c>
      <c r="B161" s="4">
        <v>45449.785243055558</v>
      </c>
      <c r="C161" t="s">
        <v>43</v>
      </c>
      <c r="D161" t="s">
        <v>18</v>
      </c>
      <c r="E161">
        <v>1</v>
      </c>
      <c r="F161" s="5">
        <v>3.99</v>
      </c>
      <c r="G161" s="5">
        <v>3.99</v>
      </c>
    </row>
    <row r="162" spans="1:7" x14ac:dyDescent="0.4">
      <c r="A162">
        <v>1048</v>
      </c>
      <c r="B162" s="4">
        <v>45449.785243055558</v>
      </c>
      <c r="C162" t="s">
        <v>43</v>
      </c>
      <c r="D162" t="s">
        <v>14</v>
      </c>
      <c r="E162">
        <v>1</v>
      </c>
      <c r="F162" s="5">
        <v>3.49</v>
      </c>
      <c r="G162" s="5">
        <v>3.49</v>
      </c>
    </row>
    <row r="163" spans="1:7" x14ac:dyDescent="0.4">
      <c r="A163">
        <v>1048</v>
      </c>
      <c r="B163" s="4">
        <v>45449.785243055558</v>
      </c>
      <c r="C163" t="s">
        <v>43</v>
      </c>
      <c r="D163" t="s">
        <v>18</v>
      </c>
      <c r="E163">
        <v>1</v>
      </c>
      <c r="F163" s="5">
        <v>3.99</v>
      </c>
      <c r="G163" s="5">
        <v>3.99</v>
      </c>
    </row>
    <row r="164" spans="1:7" x14ac:dyDescent="0.4">
      <c r="A164">
        <v>1048</v>
      </c>
      <c r="B164" s="4">
        <v>45449.785243055558</v>
      </c>
      <c r="C164" t="s">
        <v>43</v>
      </c>
      <c r="D164" t="s">
        <v>18</v>
      </c>
      <c r="E164">
        <v>1</v>
      </c>
      <c r="F164" s="5">
        <v>3.99</v>
      </c>
      <c r="G164" s="5">
        <v>3.99</v>
      </c>
    </row>
    <row r="165" spans="1:7" x14ac:dyDescent="0.4">
      <c r="A165">
        <v>1048</v>
      </c>
      <c r="B165" s="4">
        <v>45449.785243055558</v>
      </c>
      <c r="C165" t="s">
        <v>43</v>
      </c>
      <c r="D165" t="s">
        <v>18</v>
      </c>
      <c r="E165">
        <v>1</v>
      </c>
      <c r="F165" s="5">
        <v>3.99</v>
      </c>
      <c r="G165" s="5">
        <v>3.99</v>
      </c>
    </row>
    <row r="166" spans="1:7" x14ac:dyDescent="0.4">
      <c r="A166">
        <v>1048</v>
      </c>
      <c r="B166" s="4">
        <v>45449.785243055558</v>
      </c>
      <c r="C166" t="s">
        <v>43</v>
      </c>
      <c r="D166" t="s">
        <v>18</v>
      </c>
      <c r="E166">
        <v>1</v>
      </c>
      <c r="F166" s="5">
        <v>3.99</v>
      </c>
      <c r="G166" s="5">
        <v>3.99</v>
      </c>
    </row>
    <row r="167" spans="1:7" x14ac:dyDescent="0.4">
      <c r="A167">
        <v>1048</v>
      </c>
      <c r="B167" s="4">
        <v>45449.785243055558</v>
      </c>
      <c r="C167" t="s">
        <v>43</v>
      </c>
      <c r="D167" t="s">
        <v>18</v>
      </c>
      <c r="E167">
        <v>1</v>
      </c>
      <c r="F167" s="5">
        <v>3.99</v>
      </c>
      <c r="G167" s="5">
        <v>3.99</v>
      </c>
    </row>
    <row r="168" spans="1:7" x14ac:dyDescent="0.4">
      <c r="A168">
        <v>1048</v>
      </c>
      <c r="B168" s="4">
        <v>45449.785243055558</v>
      </c>
      <c r="C168" t="s">
        <v>43</v>
      </c>
      <c r="D168" t="s">
        <v>18</v>
      </c>
      <c r="E168">
        <v>1</v>
      </c>
      <c r="F168" s="5">
        <v>3.99</v>
      </c>
      <c r="G168" s="5">
        <v>3.99</v>
      </c>
    </row>
    <row r="169" spans="1:7" x14ac:dyDescent="0.4">
      <c r="A169">
        <v>1048</v>
      </c>
      <c r="B169" s="4">
        <v>45449.785243055558</v>
      </c>
      <c r="C169" t="s">
        <v>43</v>
      </c>
      <c r="D169" t="s">
        <v>18</v>
      </c>
      <c r="E169">
        <v>1</v>
      </c>
      <c r="F169" s="5">
        <v>3.99</v>
      </c>
      <c r="G169" s="5">
        <v>3.99</v>
      </c>
    </row>
    <row r="170" spans="1:7" x14ac:dyDescent="0.4">
      <c r="A170">
        <v>1048</v>
      </c>
      <c r="B170" s="4">
        <v>45449.785243055558</v>
      </c>
      <c r="C170" t="s">
        <v>43</v>
      </c>
      <c r="D170" t="s">
        <v>18</v>
      </c>
      <c r="E170">
        <v>1</v>
      </c>
      <c r="F170" s="5">
        <v>3.99</v>
      </c>
      <c r="G170">
        <v>3.99</v>
      </c>
    </row>
    <row r="171" spans="1:7" x14ac:dyDescent="0.4">
      <c r="A171">
        <v>1048</v>
      </c>
      <c r="B171" s="4">
        <v>45449.785243055558</v>
      </c>
      <c r="C171" t="s">
        <v>43</v>
      </c>
      <c r="D171" t="s">
        <v>18</v>
      </c>
      <c r="E171">
        <v>1</v>
      </c>
      <c r="F171" s="5">
        <v>3.99</v>
      </c>
      <c r="G171">
        <v>3.99</v>
      </c>
    </row>
    <row r="172" spans="1:7" x14ac:dyDescent="0.4">
      <c r="A172">
        <v>1048</v>
      </c>
      <c r="B172" s="4">
        <v>45449.785243055558</v>
      </c>
      <c r="C172" t="s">
        <v>43</v>
      </c>
      <c r="D172" t="s">
        <v>18</v>
      </c>
      <c r="E172">
        <v>1</v>
      </c>
      <c r="F172" s="5">
        <v>3.99</v>
      </c>
      <c r="G172">
        <v>3.99</v>
      </c>
    </row>
    <row r="173" spans="1:7" x14ac:dyDescent="0.4">
      <c r="A173">
        <v>1048</v>
      </c>
      <c r="B173" s="4">
        <v>45449.785243055558</v>
      </c>
      <c r="C173" t="s">
        <v>43</v>
      </c>
      <c r="D173" t="s">
        <v>14</v>
      </c>
      <c r="E173">
        <v>1</v>
      </c>
      <c r="F173" s="5">
        <v>3.49</v>
      </c>
      <c r="G173">
        <v>3.49</v>
      </c>
    </row>
    <row r="174" spans="1:7" x14ac:dyDescent="0.4">
      <c r="A174">
        <v>1048</v>
      </c>
      <c r="B174" s="4">
        <v>45449.785243055558</v>
      </c>
      <c r="C174" t="s">
        <v>43</v>
      </c>
      <c r="D174" t="s">
        <v>12</v>
      </c>
      <c r="E174">
        <v>1</v>
      </c>
      <c r="F174" s="5">
        <v>1.95</v>
      </c>
      <c r="G174">
        <v>1.95</v>
      </c>
    </row>
    <row r="175" spans="1:7" x14ac:dyDescent="0.4">
      <c r="A175">
        <v>1048</v>
      </c>
      <c r="B175" s="4">
        <v>45449.785243055558</v>
      </c>
      <c r="C175" t="s">
        <v>43</v>
      </c>
      <c r="D175" t="s">
        <v>18</v>
      </c>
      <c r="E175">
        <v>1</v>
      </c>
      <c r="F175" s="5">
        <v>3.99</v>
      </c>
      <c r="G175">
        <v>3.99</v>
      </c>
    </row>
    <row r="176" spans="1:7" x14ac:dyDescent="0.4">
      <c r="A176">
        <v>1048</v>
      </c>
      <c r="B176" s="4">
        <v>45449.785243055558</v>
      </c>
      <c r="C176" t="s">
        <v>43</v>
      </c>
      <c r="D176" t="s">
        <v>18</v>
      </c>
      <c r="E176">
        <v>1</v>
      </c>
      <c r="F176" s="5">
        <v>3.99</v>
      </c>
      <c r="G176">
        <v>3.99</v>
      </c>
    </row>
    <row r="177" spans="1:7" x14ac:dyDescent="0.4">
      <c r="A177">
        <v>1048</v>
      </c>
      <c r="B177" s="4">
        <v>45449.785243055558</v>
      </c>
      <c r="C177" t="s">
        <v>43</v>
      </c>
      <c r="D177" t="s">
        <v>18</v>
      </c>
      <c r="E177">
        <v>1</v>
      </c>
      <c r="F177" s="5">
        <v>3.99</v>
      </c>
      <c r="G177">
        <v>3.99</v>
      </c>
    </row>
    <row r="178" spans="1:7" x14ac:dyDescent="0.4">
      <c r="A178">
        <v>1048</v>
      </c>
      <c r="B178" s="4">
        <v>45449.785243055558</v>
      </c>
      <c r="C178" t="s">
        <v>43</v>
      </c>
      <c r="D178" t="s">
        <v>18</v>
      </c>
      <c r="E178">
        <v>1</v>
      </c>
      <c r="F178" s="5">
        <v>3.99</v>
      </c>
      <c r="G178">
        <v>3.99</v>
      </c>
    </row>
    <row r="179" spans="1:7" x14ac:dyDescent="0.4">
      <c r="A179">
        <v>1048</v>
      </c>
      <c r="B179" s="4">
        <v>45449.785243055558</v>
      </c>
      <c r="C179" t="s">
        <v>43</v>
      </c>
      <c r="D179" t="s">
        <v>14</v>
      </c>
      <c r="E179">
        <v>1</v>
      </c>
      <c r="F179" s="5">
        <v>3.49</v>
      </c>
      <c r="G179">
        <v>3.49</v>
      </c>
    </row>
    <row r="180" spans="1:7" x14ac:dyDescent="0.4">
      <c r="A180">
        <v>1049</v>
      </c>
      <c r="B180" s="4">
        <v>45449.786365740743</v>
      </c>
      <c r="C180" t="s">
        <v>43</v>
      </c>
      <c r="D180" t="s">
        <v>18</v>
      </c>
      <c r="E180">
        <v>1</v>
      </c>
      <c r="F180" s="5">
        <v>3.99</v>
      </c>
      <c r="G180">
        <v>3.99</v>
      </c>
    </row>
    <row r="181" spans="1:7" x14ac:dyDescent="0.4">
      <c r="A181">
        <v>1050</v>
      </c>
      <c r="B181" s="4">
        <v>45449.797025462962</v>
      </c>
      <c r="C181" t="s">
        <v>43</v>
      </c>
      <c r="D181" t="s">
        <v>20</v>
      </c>
      <c r="E181">
        <v>1</v>
      </c>
      <c r="F181" s="5">
        <v>4.95</v>
      </c>
      <c r="G181">
        <v>4.95</v>
      </c>
    </row>
    <row r="182" spans="1:7" x14ac:dyDescent="0.4">
      <c r="A182">
        <v>1050</v>
      </c>
      <c r="B182" s="4">
        <v>45449.797025462962</v>
      </c>
      <c r="C182" t="s">
        <v>43</v>
      </c>
      <c r="D182" t="s">
        <v>12</v>
      </c>
      <c r="E182">
        <v>1</v>
      </c>
      <c r="F182" s="5">
        <v>1.95</v>
      </c>
      <c r="G182">
        <v>1.95</v>
      </c>
    </row>
    <row r="183" spans="1:7" x14ac:dyDescent="0.4">
      <c r="A183">
        <v>1050</v>
      </c>
      <c r="B183" s="4">
        <v>45449.797025462962</v>
      </c>
      <c r="C183" t="s">
        <v>43</v>
      </c>
      <c r="D183" t="s">
        <v>14</v>
      </c>
      <c r="E183">
        <v>1</v>
      </c>
      <c r="F183" s="5">
        <v>3.49</v>
      </c>
      <c r="G183">
        <v>3.49</v>
      </c>
    </row>
    <row r="184" spans="1:7" x14ac:dyDescent="0.4">
      <c r="A184">
        <v>1050</v>
      </c>
      <c r="B184" s="4">
        <v>45449.797025462962</v>
      </c>
      <c r="C184" t="s">
        <v>43</v>
      </c>
      <c r="D184" t="s">
        <v>18</v>
      </c>
      <c r="E184">
        <v>1</v>
      </c>
      <c r="F184" s="5">
        <v>3.99</v>
      </c>
      <c r="G184">
        <v>3.99</v>
      </c>
    </row>
    <row r="185" spans="1:7" x14ac:dyDescent="0.4">
      <c r="A185">
        <v>1050</v>
      </c>
      <c r="B185" s="4">
        <v>45449.797025462962</v>
      </c>
      <c r="C185" t="s">
        <v>43</v>
      </c>
      <c r="D185" t="s">
        <v>18</v>
      </c>
      <c r="E185">
        <v>1</v>
      </c>
      <c r="F185" s="5">
        <v>3.99</v>
      </c>
      <c r="G185">
        <v>3.99</v>
      </c>
    </row>
    <row r="186" spans="1:7" x14ac:dyDescent="0.4">
      <c r="A186">
        <v>1050</v>
      </c>
      <c r="B186" s="4">
        <v>45449.797025462962</v>
      </c>
      <c r="C186" t="s">
        <v>43</v>
      </c>
      <c r="D186" t="s">
        <v>20</v>
      </c>
      <c r="E186">
        <v>1</v>
      </c>
      <c r="F186" s="5">
        <v>4.95</v>
      </c>
      <c r="G186">
        <v>4.95</v>
      </c>
    </row>
    <row r="187" spans="1:7" x14ac:dyDescent="0.4">
      <c r="A187">
        <v>1050</v>
      </c>
      <c r="B187" s="4">
        <v>45449.797025462962</v>
      </c>
      <c r="C187" t="s">
        <v>43</v>
      </c>
      <c r="D187" t="s">
        <v>18</v>
      </c>
      <c r="E187">
        <v>1</v>
      </c>
      <c r="F187" s="5">
        <v>3.99</v>
      </c>
      <c r="G187">
        <v>3.99</v>
      </c>
    </row>
    <row r="188" spans="1:7" x14ac:dyDescent="0.4">
      <c r="A188">
        <v>1050</v>
      </c>
      <c r="B188" s="4">
        <v>45449.797025462962</v>
      </c>
      <c r="C188" t="s">
        <v>43</v>
      </c>
      <c r="D188" t="s">
        <v>14</v>
      </c>
      <c r="E188">
        <v>1</v>
      </c>
      <c r="F188" s="5">
        <v>3.49</v>
      </c>
      <c r="G188">
        <v>3.49</v>
      </c>
    </row>
    <row r="189" spans="1:7" x14ac:dyDescent="0.4">
      <c r="A189">
        <v>1050</v>
      </c>
      <c r="B189" s="4">
        <v>45449.797025462962</v>
      </c>
      <c r="C189" t="s">
        <v>43</v>
      </c>
      <c r="D189" t="s">
        <v>18</v>
      </c>
      <c r="E189">
        <v>1</v>
      </c>
      <c r="F189" s="5">
        <v>3.99</v>
      </c>
      <c r="G189">
        <v>3.99</v>
      </c>
    </row>
    <row r="190" spans="1:7" x14ac:dyDescent="0.4">
      <c r="A190">
        <v>1050</v>
      </c>
      <c r="B190" s="4">
        <v>45449.797025462962</v>
      </c>
      <c r="C190" t="s">
        <v>43</v>
      </c>
      <c r="D190" t="s">
        <v>18</v>
      </c>
      <c r="E190">
        <v>1</v>
      </c>
      <c r="F190" s="5">
        <v>3.99</v>
      </c>
      <c r="G190">
        <v>3.99</v>
      </c>
    </row>
    <row r="191" spans="1:7" x14ac:dyDescent="0.4">
      <c r="A191">
        <v>1050</v>
      </c>
      <c r="B191" s="4">
        <v>45449.797025462962</v>
      </c>
      <c r="C191" t="s">
        <v>43</v>
      </c>
      <c r="D191" t="s">
        <v>14</v>
      </c>
      <c r="E191">
        <v>1</v>
      </c>
      <c r="F191" s="5">
        <v>3.49</v>
      </c>
      <c r="G191">
        <v>3.49</v>
      </c>
    </row>
    <row r="192" spans="1:7" x14ac:dyDescent="0.4">
      <c r="A192">
        <v>1050</v>
      </c>
      <c r="B192" s="4">
        <v>45449.797025462962</v>
      </c>
      <c r="C192" t="s">
        <v>43</v>
      </c>
      <c r="D192" t="s">
        <v>18</v>
      </c>
      <c r="E192">
        <v>1</v>
      </c>
      <c r="F192" s="5">
        <v>3.99</v>
      </c>
      <c r="G192">
        <v>3.99</v>
      </c>
    </row>
    <row r="193" spans="1:7" x14ac:dyDescent="0.4">
      <c r="A193">
        <v>1050</v>
      </c>
      <c r="B193" s="4">
        <v>45449.797025462962</v>
      </c>
      <c r="C193" t="s">
        <v>43</v>
      </c>
      <c r="D193" t="s">
        <v>14</v>
      </c>
      <c r="E193">
        <v>1</v>
      </c>
      <c r="F193" s="5">
        <v>3.49</v>
      </c>
      <c r="G193">
        <v>3.49</v>
      </c>
    </row>
    <row r="194" spans="1:7" x14ac:dyDescent="0.4">
      <c r="A194">
        <v>1050</v>
      </c>
      <c r="B194" s="4">
        <v>45449.797025462962</v>
      </c>
      <c r="C194" t="s">
        <v>43</v>
      </c>
      <c r="D194" t="s">
        <v>18</v>
      </c>
      <c r="E194">
        <v>1</v>
      </c>
      <c r="F194" s="5">
        <v>3.99</v>
      </c>
      <c r="G194">
        <v>3.99</v>
      </c>
    </row>
    <row r="195" spans="1:7" x14ac:dyDescent="0.4">
      <c r="A195">
        <v>1050</v>
      </c>
      <c r="B195" s="4">
        <v>45449.797025462962</v>
      </c>
      <c r="C195" t="s">
        <v>43</v>
      </c>
      <c r="D195" t="s">
        <v>18</v>
      </c>
      <c r="E195">
        <v>1</v>
      </c>
      <c r="F195" s="5">
        <v>3.99</v>
      </c>
      <c r="G195">
        <v>3.99</v>
      </c>
    </row>
    <row r="196" spans="1:7" x14ac:dyDescent="0.4">
      <c r="A196">
        <v>1050</v>
      </c>
      <c r="B196" s="4">
        <v>45449.797025462962</v>
      </c>
      <c r="C196" t="s">
        <v>43</v>
      </c>
      <c r="D196" t="s">
        <v>12</v>
      </c>
      <c r="E196">
        <v>1</v>
      </c>
      <c r="F196" s="5">
        <v>1.95</v>
      </c>
      <c r="G196">
        <v>1.95</v>
      </c>
    </row>
    <row r="197" spans="1:7" x14ac:dyDescent="0.4">
      <c r="A197">
        <v>1050</v>
      </c>
      <c r="B197" s="4">
        <v>45449.797025462962</v>
      </c>
      <c r="C197" t="s">
        <v>43</v>
      </c>
      <c r="D197" t="s">
        <v>14</v>
      </c>
      <c r="E197">
        <v>1</v>
      </c>
      <c r="F197" s="5">
        <v>3.49</v>
      </c>
      <c r="G197">
        <v>3.49</v>
      </c>
    </row>
    <row r="198" spans="1:7" x14ac:dyDescent="0.4">
      <c r="A198">
        <v>1050</v>
      </c>
      <c r="B198" s="4">
        <v>45449.797025462962</v>
      </c>
      <c r="C198" t="s">
        <v>43</v>
      </c>
      <c r="D198" t="s">
        <v>22</v>
      </c>
      <c r="E198">
        <v>1</v>
      </c>
      <c r="F198" s="5">
        <v>4.95</v>
      </c>
      <c r="G198">
        <v>4.95</v>
      </c>
    </row>
    <row r="199" spans="1:7" x14ac:dyDescent="0.4">
      <c r="A199">
        <v>1050</v>
      </c>
      <c r="B199" s="4">
        <v>45449.797025462962</v>
      </c>
      <c r="C199" t="s">
        <v>43</v>
      </c>
      <c r="D199" t="s">
        <v>12</v>
      </c>
      <c r="E199">
        <v>1</v>
      </c>
      <c r="F199" s="5">
        <v>1.95</v>
      </c>
      <c r="G199">
        <v>1.95</v>
      </c>
    </row>
    <row r="200" spans="1:7" x14ac:dyDescent="0.4">
      <c r="A200">
        <v>1050</v>
      </c>
      <c r="B200" s="4">
        <v>45449.797025462962</v>
      </c>
      <c r="C200" t="s">
        <v>43</v>
      </c>
      <c r="D200" t="s">
        <v>12</v>
      </c>
      <c r="E200">
        <v>1</v>
      </c>
      <c r="F200" s="5">
        <v>1.95</v>
      </c>
      <c r="G200">
        <v>1.95</v>
      </c>
    </row>
    <row r="201" spans="1:7" x14ac:dyDescent="0.4">
      <c r="A201">
        <v>1050</v>
      </c>
      <c r="B201" s="4">
        <v>45449.797025462962</v>
      </c>
      <c r="C201" t="s">
        <v>43</v>
      </c>
      <c r="D201" t="s">
        <v>12</v>
      </c>
      <c r="E201">
        <v>1</v>
      </c>
      <c r="F201" s="5">
        <v>1.95</v>
      </c>
      <c r="G201">
        <v>1.95</v>
      </c>
    </row>
    <row r="202" spans="1:7" x14ac:dyDescent="0.4">
      <c r="A202">
        <v>1050</v>
      </c>
      <c r="B202" s="4">
        <v>45449.797025462962</v>
      </c>
      <c r="C202" t="s">
        <v>43</v>
      </c>
      <c r="D202" t="s">
        <v>12</v>
      </c>
      <c r="E202">
        <v>1</v>
      </c>
      <c r="F202" s="5">
        <v>1.95</v>
      </c>
      <c r="G202">
        <v>1.95</v>
      </c>
    </row>
    <row r="203" spans="1:7" x14ac:dyDescent="0.4">
      <c r="A203">
        <v>1050</v>
      </c>
      <c r="B203" s="4">
        <v>45449.797025462962</v>
      </c>
      <c r="C203" t="s">
        <v>43</v>
      </c>
      <c r="D203" t="s">
        <v>12</v>
      </c>
      <c r="E203">
        <v>1</v>
      </c>
      <c r="F203" s="5">
        <v>1.95</v>
      </c>
      <c r="G203">
        <v>1.95</v>
      </c>
    </row>
    <row r="204" spans="1:7" x14ac:dyDescent="0.4">
      <c r="A204">
        <v>1050</v>
      </c>
      <c r="B204" s="4">
        <v>45449.797025462962</v>
      </c>
      <c r="C204" t="s">
        <v>43</v>
      </c>
      <c r="D204" t="s">
        <v>12</v>
      </c>
      <c r="E204">
        <v>1</v>
      </c>
      <c r="F204" s="5">
        <v>1.95</v>
      </c>
      <c r="G204">
        <v>1.95</v>
      </c>
    </row>
    <row r="205" spans="1:7" x14ac:dyDescent="0.4">
      <c r="A205">
        <v>1050</v>
      </c>
      <c r="B205" s="4">
        <v>45449.797025462962</v>
      </c>
      <c r="C205" t="s">
        <v>43</v>
      </c>
      <c r="D205" t="s">
        <v>12</v>
      </c>
      <c r="E205">
        <v>1</v>
      </c>
      <c r="F205" s="5">
        <v>1.95</v>
      </c>
      <c r="G205">
        <v>1.95</v>
      </c>
    </row>
    <row r="206" spans="1:7" x14ac:dyDescent="0.4">
      <c r="A206">
        <v>1050</v>
      </c>
      <c r="B206" s="4">
        <v>45449.797025462962</v>
      </c>
      <c r="C206" t="s">
        <v>43</v>
      </c>
      <c r="D206" t="s">
        <v>12</v>
      </c>
      <c r="E206">
        <v>1</v>
      </c>
      <c r="F206" s="5">
        <v>1.95</v>
      </c>
      <c r="G206">
        <v>1.95</v>
      </c>
    </row>
    <row r="207" spans="1:7" x14ac:dyDescent="0.4">
      <c r="A207">
        <v>1050</v>
      </c>
      <c r="B207" s="4">
        <v>45449.797025462962</v>
      </c>
      <c r="C207" t="s">
        <v>43</v>
      </c>
      <c r="D207" t="s">
        <v>12</v>
      </c>
      <c r="E207">
        <v>1</v>
      </c>
      <c r="F207" s="5">
        <v>1.95</v>
      </c>
      <c r="G207">
        <v>1.95</v>
      </c>
    </row>
    <row r="208" spans="1:7" x14ac:dyDescent="0.4">
      <c r="A208">
        <v>1050</v>
      </c>
      <c r="B208" s="4">
        <v>45449.797025462962</v>
      </c>
      <c r="C208" t="s">
        <v>43</v>
      </c>
      <c r="D208" t="s">
        <v>12</v>
      </c>
      <c r="E208">
        <v>1</v>
      </c>
      <c r="F208" s="5">
        <v>1.95</v>
      </c>
      <c r="G208">
        <v>1.95</v>
      </c>
    </row>
    <row r="209" spans="1:7" x14ac:dyDescent="0.4">
      <c r="A209">
        <v>1050</v>
      </c>
      <c r="B209" s="4">
        <v>45449.797025462962</v>
      </c>
      <c r="C209" t="s">
        <v>43</v>
      </c>
      <c r="D209" t="s">
        <v>12</v>
      </c>
      <c r="E209">
        <v>1</v>
      </c>
      <c r="F209" s="5">
        <v>1.95</v>
      </c>
      <c r="G209">
        <v>1.95</v>
      </c>
    </row>
    <row r="210" spans="1:7" x14ac:dyDescent="0.4">
      <c r="A210">
        <v>1050</v>
      </c>
      <c r="B210" s="4">
        <v>45449.797025462962</v>
      </c>
      <c r="C210" t="s">
        <v>43</v>
      </c>
      <c r="D210" t="s">
        <v>12</v>
      </c>
      <c r="E210">
        <v>1</v>
      </c>
      <c r="F210" s="5">
        <v>1.95</v>
      </c>
      <c r="G210">
        <v>1.95</v>
      </c>
    </row>
    <row r="211" spans="1:7" x14ac:dyDescent="0.4">
      <c r="A211">
        <v>1050</v>
      </c>
      <c r="B211" s="4">
        <v>45449.797025462962</v>
      </c>
      <c r="C211" t="s">
        <v>43</v>
      </c>
      <c r="D211" t="s">
        <v>12</v>
      </c>
      <c r="E211">
        <v>1</v>
      </c>
      <c r="F211" s="5">
        <v>1.95</v>
      </c>
      <c r="G211">
        <v>1.95</v>
      </c>
    </row>
    <row r="212" spans="1:7" x14ac:dyDescent="0.4">
      <c r="A212">
        <v>1050</v>
      </c>
      <c r="B212" s="4">
        <v>45449.797025462962</v>
      </c>
      <c r="C212" t="s">
        <v>43</v>
      </c>
      <c r="D212" t="s">
        <v>18</v>
      </c>
      <c r="E212">
        <v>1</v>
      </c>
      <c r="F212" s="5">
        <v>3.99</v>
      </c>
      <c r="G212">
        <v>3.99</v>
      </c>
    </row>
    <row r="213" spans="1:7" x14ac:dyDescent="0.4">
      <c r="A213">
        <v>1050</v>
      </c>
      <c r="B213" s="4">
        <v>45449.797025462962</v>
      </c>
      <c r="C213" t="s">
        <v>43</v>
      </c>
      <c r="D213" t="s">
        <v>18</v>
      </c>
      <c r="E213">
        <v>1</v>
      </c>
      <c r="F213" s="5">
        <v>3.99</v>
      </c>
      <c r="G213">
        <v>3.99</v>
      </c>
    </row>
    <row r="214" spans="1:7" x14ac:dyDescent="0.4">
      <c r="A214">
        <v>1050</v>
      </c>
      <c r="B214" s="4">
        <v>45449.797025462962</v>
      </c>
      <c r="C214" t="s">
        <v>43</v>
      </c>
      <c r="D214" t="s">
        <v>18</v>
      </c>
      <c r="E214">
        <v>1</v>
      </c>
      <c r="F214" s="5">
        <v>3.99</v>
      </c>
      <c r="G214">
        <v>3.99</v>
      </c>
    </row>
    <row r="215" spans="1:7" x14ac:dyDescent="0.4">
      <c r="A215">
        <v>1050</v>
      </c>
      <c r="B215" s="4">
        <v>45449.797025462962</v>
      </c>
      <c r="C215" t="s">
        <v>43</v>
      </c>
      <c r="D215" t="s">
        <v>18</v>
      </c>
      <c r="E215">
        <v>1</v>
      </c>
      <c r="F215" s="5">
        <v>3.99</v>
      </c>
      <c r="G215">
        <v>3.99</v>
      </c>
    </row>
    <row r="216" spans="1:7" x14ac:dyDescent="0.4">
      <c r="A216">
        <v>1050</v>
      </c>
      <c r="B216" s="4">
        <v>45449.797025462962</v>
      </c>
      <c r="C216" t="s">
        <v>43</v>
      </c>
      <c r="D216" t="s">
        <v>18</v>
      </c>
      <c r="E216">
        <v>1</v>
      </c>
      <c r="F216" s="5">
        <v>3.99</v>
      </c>
      <c r="G216">
        <v>3.99</v>
      </c>
    </row>
    <row r="217" spans="1:7" x14ac:dyDescent="0.4">
      <c r="A217">
        <v>1050</v>
      </c>
      <c r="B217" s="4">
        <v>45449.797025462962</v>
      </c>
      <c r="C217" t="s">
        <v>43</v>
      </c>
      <c r="D217" t="s">
        <v>18</v>
      </c>
      <c r="E217">
        <v>1</v>
      </c>
      <c r="F217" s="5">
        <v>3.99</v>
      </c>
      <c r="G217">
        <v>3.99</v>
      </c>
    </row>
    <row r="218" spans="1:7" x14ac:dyDescent="0.4">
      <c r="A218">
        <v>1050</v>
      </c>
      <c r="B218" s="4">
        <v>45449.797025462962</v>
      </c>
      <c r="C218" t="s">
        <v>43</v>
      </c>
      <c r="D218" t="s">
        <v>18</v>
      </c>
      <c r="E218">
        <v>1</v>
      </c>
      <c r="F218" s="5">
        <v>3.99</v>
      </c>
      <c r="G218">
        <v>3.99</v>
      </c>
    </row>
    <row r="219" spans="1:7" x14ac:dyDescent="0.4">
      <c r="A219">
        <v>1050</v>
      </c>
      <c r="B219" s="4">
        <v>45449.797025462962</v>
      </c>
      <c r="C219" t="s">
        <v>43</v>
      </c>
      <c r="D219" t="s">
        <v>18</v>
      </c>
      <c r="E219">
        <v>1</v>
      </c>
      <c r="F219" s="5">
        <v>3.99</v>
      </c>
      <c r="G219">
        <v>3.99</v>
      </c>
    </row>
    <row r="220" spans="1:7" x14ac:dyDescent="0.4">
      <c r="A220">
        <v>1050</v>
      </c>
      <c r="B220" s="4">
        <v>45449.797025462962</v>
      </c>
      <c r="C220" t="s">
        <v>43</v>
      </c>
      <c r="D220" t="s">
        <v>18</v>
      </c>
      <c r="E220">
        <v>1</v>
      </c>
      <c r="F220" s="5">
        <v>3.99</v>
      </c>
      <c r="G220">
        <v>3.99</v>
      </c>
    </row>
    <row r="221" spans="1:7" x14ac:dyDescent="0.4">
      <c r="A221">
        <v>1050</v>
      </c>
      <c r="B221" s="4">
        <v>45449.797025462962</v>
      </c>
      <c r="C221" t="s">
        <v>43</v>
      </c>
      <c r="D221" t="s">
        <v>18</v>
      </c>
      <c r="E221">
        <v>1</v>
      </c>
      <c r="F221" s="5">
        <v>3.99</v>
      </c>
      <c r="G221">
        <v>3.99</v>
      </c>
    </row>
    <row r="222" spans="1:7" x14ac:dyDescent="0.4">
      <c r="A222">
        <v>1050</v>
      </c>
      <c r="B222" s="4">
        <v>45449.797025462962</v>
      </c>
      <c r="C222" t="s">
        <v>43</v>
      </c>
      <c r="D222" t="s">
        <v>18</v>
      </c>
      <c r="E222">
        <v>1</v>
      </c>
      <c r="F222" s="5">
        <v>3.99</v>
      </c>
      <c r="G222">
        <v>3.99</v>
      </c>
    </row>
    <row r="223" spans="1:7" x14ac:dyDescent="0.4">
      <c r="A223">
        <v>1050</v>
      </c>
      <c r="B223" s="4">
        <v>45449.797025462962</v>
      </c>
      <c r="C223" t="s">
        <v>43</v>
      </c>
      <c r="D223" t="s">
        <v>18</v>
      </c>
      <c r="E223">
        <v>1</v>
      </c>
      <c r="F223" s="5">
        <v>3.99</v>
      </c>
      <c r="G223">
        <v>3.99</v>
      </c>
    </row>
    <row r="224" spans="1:7" x14ac:dyDescent="0.4">
      <c r="A224">
        <v>1050</v>
      </c>
      <c r="B224" s="4">
        <v>45449.797025462962</v>
      </c>
      <c r="C224" t="s">
        <v>43</v>
      </c>
      <c r="D224" t="s">
        <v>18</v>
      </c>
      <c r="E224">
        <v>1</v>
      </c>
      <c r="F224" s="5">
        <v>3.99</v>
      </c>
      <c r="G224">
        <v>3.99</v>
      </c>
    </row>
    <row r="225" spans="1:7" x14ac:dyDescent="0.4">
      <c r="A225">
        <v>1050</v>
      </c>
      <c r="B225" s="4">
        <v>45449.797025462962</v>
      </c>
      <c r="C225" t="s">
        <v>43</v>
      </c>
      <c r="D225" t="s">
        <v>18</v>
      </c>
      <c r="E225">
        <v>1</v>
      </c>
      <c r="F225" s="5">
        <v>3.99</v>
      </c>
      <c r="G225">
        <v>3.99</v>
      </c>
    </row>
    <row r="226" spans="1:7" x14ac:dyDescent="0.4">
      <c r="A226">
        <v>1050</v>
      </c>
      <c r="B226" s="4">
        <v>45449.797025462962</v>
      </c>
      <c r="C226" t="s">
        <v>43</v>
      </c>
      <c r="D226" t="s">
        <v>18</v>
      </c>
      <c r="E226">
        <v>1</v>
      </c>
      <c r="F226" s="5">
        <v>3.99</v>
      </c>
      <c r="G226">
        <v>3.99</v>
      </c>
    </row>
    <row r="227" spans="1:7" x14ac:dyDescent="0.4">
      <c r="A227">
        <v>1050</v>
      </c>
      <c r="B227" s="4">
        <v>45449.797025462962</v>
      </c>
      <c r="C227" t="s">
        <v>43</v>
      </c>
      <c r="D227" t="s">
        <v>18</v>
      </c>
      <c r="E227">
        <v>1</v>
      </c>
      <c r="F227" s="5">
        <v>3.99</v>
      </c>
      <c r="G227">
        <v>3.99</v>
      </c>
    </row>
    <row r="228" spans="1:7" x14ac:dyDescent="0.4">
      <c r="A228">
        <v>1050</v>
      </c>
      <c r="B228" s="4">
        <v>45449.797025462962</v>
      </c>
      <c r="C228" t="s">
        <v>43</v>
      </c>
      <c r="D228" t="s">
        <v>18</v>
      </c>
      <c r="E228">
        <v>1</v>
      </c>
      <c r="F228" s="5">
        <v>3.99</v>
      </c>
      <c r="G228">
        <v>3.99</v>
      </c>
    </row>
    <row r="229" spans="1:7" x14ac:dyDescent="0.4">
      <c r="A229">
        <v>1050</v>
      </c>
      <c r="B229" s="4">
        <v>45449.797025462962</v>
      </c>
      <c r="C229" t="s">
        <v>43</v>
      </c>
      <c r="D229" t="s">
        <v>18</v>
      </c>
      <c r="E229">
        <v>1</v>
      </c>
      <c r="F229" s="5">
        <v>3.99</v>
      </c>
      <c r="G229">
        <v>3.99</v>
      </c>
    </row>
    <row r="230" spans="1:7" x14ac:dyDescent="0.4">
      <c r="A230">
        <v>1050</v>
      </c>
      <c r="B230" s="4">
        <v>45449.797025462962</v>
      </c>
      <c r="C230" t="s">
        <v>43</v>
      </c>
      <c r="D230" t="s">
        <v>18</v>
      </c>
      <c r="E230">
        <v>1</v>
      </c>
      <c r="F230" s="5">
        <v>3.99</v>
      </c>
      <c r="G230">
        <v>3.99</v>
      </c>
    </row>
    <row r="231" spans="1:7" x14ac:dyDescent="0.4">
      <c r="A231">
        <v>1050</v>
      </c>
      <c r="B231" s="4">
        <v>45449.797025462962</v>
      </c>
      <c r="C231" t="s">
        <v>43</v>
      </c>
      <c r="D231" t="s">
        <v>18</v>
      </c>
      <c r="E231">
        <v>1</v>
      </c>
      <c r="F231" s="5">
        <v>3.99</v>
      </c>
      <c r="G231">
        <v>3.99</v>
      </c>
    </row>
    <row r="232" spans="1:7" x14ac:dyDescent="0.4">
      <c r="A232">
        <v>1050</v>
      </c>
      <c r="B232" s="4">
        <v>45449.797025462962</v>
      </c>
      <c r="C232" t="s">
        <v>43</v>
      </c>
      <c r="D232" t="s">
        <v>18</v>
      </c>
      <c r="E232">
        <v>1</v>
      </c>
      <c r="F232" s="5">
        <v>3.99</v>
      </c>
      <c r="G232">
        <v>3.99</v>
      </c>
    </row>
    <row r="233" spans="1:7" x14ac:dyDescent="0.4">
      <c r="A233">
        <v>1050</v>
      </c>
      <c r="B233" s="4">
        <v>45449.797025462962</v>
      </c>
      <c r="C233" t="s">
        <v>43</v>
      </c>
      <c r="D233" t="s">
        <v>18</v>
      </c>
      <c r="E233">
        <v>1</v>
      </c>
      <c r="F233" s="5">
        <v>3.99</v>
      </c>
      <c r="G233">
        <v>3.99</v>
      </c>
    </row>
    <row r="234" spans="1:7" x14ac:dyDescent="0.4">
      <c r="A234">
        <v>1050</v>
      </c>
      <c r="B234" s="4">
        <v>45449.797025462962</v>
      </c>
      <c r="C234" t="s">
        <v>43</v>
      </c>
      <c r="D234" t="s">
        <v>18</v>
      </c>
      <c r="E234">
        <v>1</v>
      </c>
      <c r="F234" s="5">
        <v>3.99</v>
      </c>
      <c r="G234">
        <v>3.99</v>
      </c>
    </row>
    <row r="235" spans="1:7" x14ac:dyDescent="0.4">
      <c r="A235">
        <v>1050</v>
      </c>
      <c r="B235" s="4">
        <v>45449.797025462962</v>
      </c>
      <c r="C235" t="s">
        <v>43</v>
      </c>
      <c r="D235" t="s">
        <v>18</v>
      </c>
      <c r="E235">
        <v>1</v>
      </c>
      <c r="F235" s="5">
        <v>3.99</v>
      </c>
      <c r="G235">
        <v>3.99</v>
      </c>
    </row>
    <row r="236" spans="1:7" x14ac:dyDescent="0.4">
      <c r="A236">
        <v>1050</v>
      </c>
      <c r="B236" s="4">
        <v>45449.797025462962</v>
      </c>
      <c r="C236" t="s">
        <v>43</v>
      </c>
      <c r="D236" t="s">
        <v>18</v>
      </c>
      <c r="E236">
        <v>1</v>
      </c>
      <c r="F236" s="5">
        <v>3.99</v>
      </c>
      <c r="G236">
        <v>3.99</v>
      </c>
    </row>
    <row r="237" spans="1:7" x14ac:dyDescent="0.4">
      <c r="A237">
        <v>1050</v>
      </c>
      <c r="B237" s="4">
        <v>45449.797025462962</v>
      </c>
      <c r="C237" t="s">
        <v>43</v>
      </c>
      <c r="D237" t="s">
        <v>18</v>
      </c>
      <c r="E237">
        <v>1</v>
      </c>
      <c r="F237" s="5">
        <v>3.99</v>
      </c>
      <c r="G237">
        <v>3.99</v>
      </c>
    </row>
    <row r="238" spans="1:7" x14ac:dyDescent="0.4">
      <c r="A238">
        <v>1050</v>
      </c>
      <c r="B238" s="4">
        <v>45449.797025462962</v>
      </c>
      <c r="C238" t="s">
        <v>43</v>
      </c>
      <c r="D238" t="s">
        <v>18</v>
      </c>
      <c r="E238">
        <v>1</v>
      </c>
      <c r="F238" s="5">
        <v>3.99</v>
      </c>
      <c r="G238">
        <v>3.99</v>
      </c>
    </row>
    <row r="239" spans="1:7" x14ac:dyDescent="0.4">
      <c r="A239">
        <v>1050</v>
      </c>
      <c r="B239" s="4">
        <v>45449.797025462962</v>
      </c>
      <c r="C239" t="s">
        <v>43</v>
      </c>
      <c r="D239" t="s">
        <v>18</v>
      </c>
      <c r="E239">
        <v>1</v>
      </c>
      <c r="F239" s="5">
        <v>3.99</v>
      </c>
      <c r="G239">
        <v>3.99</v>
      </c>
    </row>
    <row r="240" spans="1:7" x14ac:dyDescent="0.4">
      <c r="A240">
        <v>1050</v>
      </c>
      <c r="B240" s="4">
        <v>45449.797025462962</v>
      </c>
      <c r="C240" t="s">
        <v>43</v>
      </c>
      <c r="D240" t="s">
        <v>18</v>
      </c>
      <c r="E240">
        <v>1</v>
      </c>
      <c r="F240" s="5">
        <v>3.99</v>
      </c>
      <c r="G240">
        <v>3.99</v>
      </c>
    </row>
    <row r="241" spans="1:7" x14ac:dyDescent="0.4">
      <c r="A241">
        <v>1050</v>
      </c>
      <c r="B241" s="4">
        <v>45449.797025462962</v>
      </c>
      <c r="C241" t="s">
        <v>43</v>
      </c>
      <c r="D241" t="s">
        <v>18</v>
      </c>
      <c r="E241">
        <v>1</v>
      </c>
      <c r="F241" s="5">
        <v>3.99</v>
      </c>
      <c r="G241">
        <v>3.99</v>
      </c>
    </row>
    <row r="242" spans="1:7" x14ac:dyDescent="0.4">
      <c r="A242">
        <v>1050</v>
      </c>
      <c r="B242" s="4">
        <v>45449.797025462962</v>
      </c>
      <c r="C242" t="s">
        <v>43</v>
      </c>
      <c r="D242" t="s">
        <v>18</v>
      </c>
      <c r="E242">
        <v>1</v>
      </c>
      <c r="F242" s="5">
        <v>3.99</v>
      </c>
      <c r="G242">
        <v>3.99</v>
      </c>
    </row>
    <row r="243" spans="1:7" x14ac:dyDescent="0.4">
      <c r="A243">
        <v>1050</v>
      </c>
      <c r="B243" s="4">
        <v>45449.797025462962</v>
      </c>
      <c r="C243" t="s">
        <v>43</v>
      </c>
      <c r="D243" t="s">
        <v>18</v>
      </c>
      <c r="E243">
        <v>1</v>
      </c>
      <c r="F243" s="5">
        <v>3.99</v>
      </c>
      <c r="G243">
        <v>3.99</v>
      </c>
    </row>
    <row r="244" spans="1:7" x14ac:dyDescent="0.4">
      <c r="A244">
        <v>1050</v>
      </c>
      <c r="B244" s="4">
        <v>45449.797025462962</v>
      </c>
      <c r="C244" t="s">
        <v>43</v>
      </c>
      <c r="D244" t="s">
        <v>14</v>
      </c>
      <c r="E244">
        <v>1</v>
      </c>
      <c r="F244" s="5">
        <v>3.49</v>
      </c>
      <c r="G244">
        <v>3.49</v>
      </c>
    </row>
    <row r="245" spans="1:7" x14ac:dyDescent="0.4">
      <c r="A245">
        <v>1050</v>
      </c>
      <c r="B245" s="4">
        <v>45449.797025462962</v>
      </c>
      <c r="C245" t="s">
        <v>43</v>
      </c>
      <c r="D245" t="s">
        <v>14</v>
      </c>
      <c r="E245">
        <v>1</v>
      </c>
      <c r="F245" s="5">
        <v>3.49</v>
      </c>
      <c r="G245">
        <v>3.49</v>
      </c>
    </row>
    <row r="246" spans="1:7" x14ac:dyDescent="0.4">
      <c r="A246">
        <v>1050</v>
      </c>
      <c r="B246" s="4">
        <v>45449.797025462962</v>
      </c>
      <c r="C246" t="s">
        <v>43</v>
      </c>
      <c r="D246" t="s">
        <v>14</v>
      </c>
      <c r="E246">
        <v>1</v>
      </c>
      <c r="F246" s="5">
        <v>3.49</v>
      </c>
      <c r="G246">
        <v>3.49</v>
      </c>
    </row>
    <row r="247" spans="1:7" x14ac:dyDescent="0.4">
      <c r="A247">
        <v>1050</v>
      </c>
      <c r="B247" s="4">
        <v>45449.797025462962</v>
      </c>
      <c r="C247" t="s">
        <v>43</v>
      </c>
      <c r="D247" t="s">
        <v>14</v>
      </c>
      <c r="E247">
        <v>1</v>
      </c>
      <c r="F247" s="5">
        <v>3.49</v>
      </c>
      <c r="G247">
        <v>3.49</v>
      </c>
    </row>
    <row r="248" spans="1:7" x14ac:dyDescent="0.4">
      <c r="A248">
        <v>1050</v>
      </c>
      <c r="B248" s="4">
        <v>45449.797025462962</v>
      </c>
      <c r="C248" t="s">
        <v>43</v>
      </c>
      <c r="D248" t="s">
        <v>14</v>
      </c>
      <c r="E248">
        <v>1</v>
      </c>
      <c r="F248" s="5">
        <v>3.49</v>
      </c>
      <c r="G248">
        <v>3.49</v>
      </c>
    </row>
    <row r="249" spans="1:7" x14ac:dyDescent="0.4">
      <c r="A249">
        <v>1050</v>
      </c>
      <c r="B249" s="4">
        <v>45449.797025462962</v>
      </c>
      <c r="C249" t="s">
        <v>43</v>
      </c>
      <c r="D249" t="s">
        <v>14</v>
      </c>
      <c r="E249">
        <v>1</v>
      </c>
      <c r="F249" s="5">
        <v>3.49</v>
      </c>
      <c r="G249">
        <v>3.49</v>
      </c>
    </row>
    <row r="250" spans="1:7" x14ac:dyDescent="0.4">
      <c r="A250">
        <v>1051</v>
      </c>
      <c r="B250" s="4">
        <v>45449.814456018517</v>
      </c>
      <c r="C250" t="s">
        <v>43</v>
      </c>
      <c r="D250" t="s">
        <v>14</v>
      </c>
      <c r="E250">
        <v>1</v>
      </c>
      <c r="F250" s="5">
        <v>3.49</v>
      </c>
      <c r="G250">
        <v>3.49</v>
      </c>
    </row>
    <row r="251" spans="1:7" x14ac:dyDescent="0.4">
      <c r="A251">
        <v>1051</v>
      </c>
      <c r="B251" s="4">
        <v>45449.814456018517</v>
      </c>
      <c r="C251" t="s">
        <v>43</v>
      </c>
      <c r="D251" t="s">
        <v>12</v>
      </c>
      <c r="E251">
        <v>1</v>
      </c>
      <c r="F251" s="5">
        <v>1.95</v>
      </c>
      <c r="G251">
        <v>1.95</v>
      </c>
    </row>
    <row r="252" spans="1:7" x14ac:dyDescent="0.4">
      <c r="A252">
        <v>1051</v>
      </c>
      <c r="B252" s="4">
        <v>45449.814456018517</v>
      </c>
      <c r="C252" t="s">
        <v>43</v>
      </c>
      <c r="D252" t="s">
        <v>14</v>
      </c>
      <c r="E252">
        <v>1</v>
      </c>
      <c r="F252" s="5">
        <v>3.49</v>
      </c>
      <c r="G252">
        <v>3.49</v>
      </c>
    </row>
    <row r="253" spans="1:7" x14ac:dyDescent="0.4">
      <c r="A253">
        <v>1051</v>
      </c>
      <c r="B253" s="4">
        <v>45449.814456018517</v>
      </c>
      <c r="C253" t="s">
        <v>43</v>
      </c>
      <c r="D253" t="s">
        <v>12</v>
      </c>
      <c r="E253">
        <v>1</v>
      </c>
      <c r="F253" s="5">
        <v>1.95</v>
      </c>
      <c r="G253">
        <v>1.95</v>
      </c>
    </row>
    <row r="254" spans="1:7" x14ac:dyDescent="0.4">
      <c r="A254">
        <v>1051</v>
      </c>
      <c r="B254" s="4">
        <v>45449.814456018517</v>
      </c>
      <c r="C254" t="s">
        <v>43</v>
      </c>
      <c r="D254" t="s">
        <v>14</v>
      </c>
      <c r="E254">
        <v>1</v>
      </c>
      <c r="F254" s="5">
        <v>3.49</v>
      </c>
      <c r="G254">
        <v>3.49</v>
      </c>
    </row>
    <row r="255" spans="1:7" x14ac:dyDescent="0.4">
      <c r="A255">
        <v>1051</v>
      </c>
      <c r="B255" s="4">
        <v>45449.814456018517</v>
      </c>
      <c r="C255" t="s">
        <v>43</v>
      </c>
      <c r="D255" t="s">
        <v>12</v>
      </c>
      <c r="E255">
        <v>1</v>
      </c>
      <c r="F255" s="5">
        <v>1.95</v>
      </c>
      <c r="G255">
        <v>1.95</v>
      </c>
    </row>
    <row r="256" spans="1:7" x14ac:dyDescent="0.4">
      <c r="A256">
        <v>1051</v>
      </c>
      <c r="B256" s="4">
        <v>45449.814456018517</v>
      </c>
      <c r="C256" t="s">
        <v>43</v>
      </c>
      <c r="D256" t="s">
        <v>20</v>
      </c>
      <c r="E256">
        <v>1</v>
      </c>
      <c r="F256" s="5">
        <v>4.95</v>
      </c>
      <c r="G256">
        <v>4.95</v>
      </c>
    </row>
    <row r="257" spans="1:7" x14ac:dyDescent="0.4">
      <c r="A257">
        <v>1051</v>
      </c>
      <c r="B257" s="4">
        <v>45449.814456018517</v>
      </c>
      <c r="C257" t="s">
        <v>43</v>
      </c>
      <c r="D257" t="s">
        <v>14</v>
      </c>
      <c r="E257">
        <v>1</v>
      </c>
      <c r="F257" s="5">
        <v>3.49</v>
      </c>
      <c r="G257">
        <v>3.49</v>
      </c>
    </row>
    <row r="258" spans="1:7" x14ac:dyDescent="0.4">
      <c r="A258">
        <v>1052</v>
      </c>
      <c r="B258" s="4">
        <v>45449.819293981483</v>
      </c>
      <c r="C258" t="s">
        <v>43</v>
      </c>
      <c r="D258" s="41" t="s">
        <v>18</v>
      </c>
      <c r="E258" s="41">
        <v>1</v>
      </c>
      <c r="F258" s="42">
        <v>3.99</v>
      </c>
      <c r="G258" s="41">
        <v>3.99</v>
      </c>
    </row>
    <row r="259" spans="1:7" x14ac:dyDescent="0.4">
      <c r="A259">
        <v>1052</v>
      </c>
      <c r="B259" s="4">
        <v>45449.819293981483</v>
      </c>
      <c r="C259" t="s">
        <v>43</v>
      </c>
      <c r="D259" s="41" t="s">
        <v>14</v>
      </c>
      <c r="E259" s="41">
        <v>1</v>
      </c>
      <c r="F259" s="42">
        <v>3.49</v>
      </c>
      <c r="G259" s="41">
        <v>3.49</v>
      </c>
    </row>
    <row r="260" spans="1:7" x14ac:dyDescent="0.4">
      <c r="A260">
        <v>1052</v>
      </c>
      <c r="B260" s="4">
        <v>45449.819293981483</v>
      </c>
      <c r="C260" t="s">
        <v>43</v>
      </c>
      <c r="D260" t="s">
        <v>12</v>
      </c>
      <c r="E260">
        <v>1</v>
      </c>
      <c r="F260" s="5">
        <v>1.95</v>
      </c>
      <c r="G260">
        <v>1.95</v>
      </c>
    </row>
    <row r="261" spans="1:7" x14ac:dyDescent="0.4">
      <c r="A261">
        <v>1052</v>
      </c>
      <c r="B261" s="4">
        <v>45449.819293981483</v>
      </c>
      <c r="C261" t="s">
        <v>43</v>
      </c>
      <c r="D261" t="s">
        <v>18</v>
      </c>
      <c r="E261">
        <v>1</v>
      </c>
      <c r="F261" s="5">
        <v>3.99</v>
      </c>
      <c r="G261">
        <v>3.99</v>
      </c>
    </row>
    <row r="262" spans="1:7" x14ac:dyDescent="0.4">
      <c r="A262">
        <v>1052</v>
      </c>
      <c r="B262" s="4">
        <v>45449.819293981483</v>
      </c>
      <c r="C262" t="s">
        <v>43</v>
      </c>
      <c r="D262" t="s">
        <v>22</v>
      </c>
      <c r="E262">
        <v>1</v>
      </c>
      <c r="F262" s="5">
        <v>4.95</v>
      </c>
      <c r="G262">
        <v>4.95</v>
      </c>
    </row>
    <row r="263" spans="1:7" x14ac:dyDescent="0.4">
      <c r="A263">
        <v>1052</v>
      </c>
      <c r="B263" s="4">
        <v>45449.819293981483</v>
      </c>
      <c r="C263" t="s">
        <v>43</v>
      </c>
      <c r="D263" s="41" t="s">
        <v>14</v>
      </c>
      <c r="E263" s="41">
        <v>1</v>
      </c>
      <c r="F263" s="42">
        <v>3.49</v>
      </c>
      <c r="G263" s="41">
        <v>3.49</v>
      </c>
    </row>
    <row r="264" spans="1:7" x14ac:dyDescent="0.4">
      <c r="A264">
        <v>1053</v>
      </c>
      <c r="B264" s="4">
        <v>45449.822534722225</v>
      </c>
      <c r="C264" t="s">
        <v>43</v>
      </c>
      <c r="D264" s="41" t="s">
        <v>18</v>
      </c>
      <c r="E264" s="41">
        <v>1</v>
      </c>
      <c r="F264" s="42">
        <v>3.99</v>
      </c>
      <c r="G264" s="41">
        <v>3.99</v>
      </c>
    </row>
    <row r="265" spans="1:7" x14ac:dyDescent="0.4">
      <c r="A265">
        <v>1053</v>
      </c>
      <c r="B265" s="4">
        <v>45449.822534722225</v>
      </c>
      <c r="C265" t="s">
        <v>43</v>
      </c>
      <c r="D265" s="41" t="s">
        <v>20</v>
      </c>
      <c r="E265" s="41">
        <v>1</v>
      </c>
      <c r="F265" s="42">
        <v>4.95</v>
      </c>
      <c r="G265" s="41">
        <v>4.95</v>
      </c>
    </row>
    <row r="266" spans="1:7" x14ac:dyDescent="0.4">
      <c r="A266">
        <v>1053</v>
      </c>
      <c r="B266" s="4">
        <v>45449.822534722225</v>
      </c>
      <c r="C266" t="s">
        <v>43</v>
      </c>
      <c r="D266" t="s">
        <v>14</v>
      </c>
      <c r="E266">
        <v>1</v>
      </c>
      <c r="F266" s="5">
        <v>3.49</v>
      </c>
      <c r="G266">
        <v>3.49</v>
      </c>
    </row>
    <row r="267" spans="1:7" x14ac:dyDescent="0.4">
      <c r="A267">
        <v>1053</v>
      </c>
      <c r="B267" s="4">
        <v>45449.822534722225</v>
      </c>
      <c r="C267" t="s">
        <v>43</v>
      </c>
      <c r="D267" t="s">
        <v>12</v>
      </c>
      <c r="E267">
        <v>1</v>
      </c>
      <c r="F267" s="5">
        <v>1.95</v>
      </c>
      <c r="G267">
        <v>1.95</v>
      </c>
    </row>
    <row r="268" spans="1:7" x14ac:dyDescent="0.4">
      <c r="A268">
        <v>1053</v>
      </c>
      <c r="B268" s="4">
        <v>45449.822534722225</v>
      </c>
      <c r="C268" t="s">
        <v>43</v>
      </c>
      <c r="D268" t="s">
        <v>14</v>
      </c>
      <c r="E268">
        <v>1</v>
      </c>
      <c r="F268" s="5">
        <v>3.49</v>
      </c>
      <c r="G268">
        <v>3.49</v>
      </c>
    </row>
    <row r="269" spans="1:7" x14ac:dyDescent="0.4">
      <c r="A269">
        <v>1053</v>
      </c>
      <c r="B269" s="4">
        <v>45449.822534722225</v>
      </c>
      <c r="C269" t="s">
        <v>43</v>
      </c>
      <c r="D269" s="41" t="s">
        <v>18</v>
      </c>
      <c r="E269" s="41">
        <v>1</v>
      </c>
      <c r="F269" s="42">
        <v>3.99</v>
      </c>
      <c r="G269" s="41">
        <v>3.99</v>
      </c>
    </row>
    <row r="270" spans="1:7" x14ac:dyDescent="0.4">
      <c r="A270">
        <v>1053</v>
      </c>
      <c r="B270" s="4">
        <v>45449.822534722225</v>
      </c>
      <c r="C270" t="s">
        <v>43</v>
      </c>
      <c r="D270" t="s">
        <v>22</v>
      </c>
      <c r="E270">
        <v>1</v>
      </c>
      <c r="F270" s="5">
        <v>4.95</v>
      </c>
      <c r="G270">
        <v>4.95</v>
      </c>
    </row>
    <row r="271" spans="1:7" x14ac:dyDescent="0.4">
      <c r="A271">
        <v>1053</v>
      </c>
      <c r="B271" s="4">
        <v>45449.822546296295</v>
      </c>
      <c r="C271" t="s">
        <v>43</v>
      </c>
      <c r="D271" t="s">
        <v>20</v>
      </c>
      <c r="E271">
        <v>1</v>
      </c>
      <c r="F271" s="5">
        <v>4.95</v>
      </c>
      <c r="G271">
        <v>4.95</v>
      </c>
    </row>
    <row r="272" spans="1:7" x14ac:dyDescent="0.4">
      <c r="A272">
        <v>1053</v>
      </c>
      <c r="B272" s="4">
        <v>45449.822546296295</v>
      </c>
      <c r="C272" t="s">
        <v>43</v>
      </c>
      <c r="D272" t="s">
        <v>18</v>
      </c>
      <c r="E272">
        <v>1</v>
      </c>
      <c r="F272" s="5">
        <v>3.99</v>
      </c>
      <c r="G272">
        <v>3.99</v>
      </c>
    </row>
    <row r="273" spans="1:7" x14ac:dyDescent="0.4">
      <c r="A273">
        <v>1053</v>
      </c>
      <c r="B273" s="4">
        <v>45449.822546296295</v>
      </c>
      <c r="C273" t="s">
        <v>43</v>
      </c>
      <c r="D273" s="41" t="s">
        <v>14</v>
      </c>
      <c r="E273" s="41">
        <v>1</v>
      </c>
      <c r="F273" s="42">
        <v>3.49</v>
      </c>
      <c r="G273" s="41">
        <v>3.49</v>
      </c>
    </row>
    <row r="274" spans="1:7" x14ac:dyDescent="0.4">
      <c r="A274">
        <v>1054</v>
      </c>
      <c r="B274" s="4">
        <v>45449.823923611111</v>
      </c>
      <c r="C274" t="s">
        <v>43</v>
      </c>
      <c r="D274" s="41" t="s">
        <v>6</v>
      </c>
      <c r="E274" s="41">
        <v>1</v>
      </c>
      <c r="F274" s="42">
        <v>2.99</v>
      </c>
      <c r="G274" s="41">
        <v>2.99</v>
      </c>
    </row>
    <row r="275" spans="1:7" x14ac:dyDescent="0.4">
      <c r="A275">
        <v>1054</v>
      </c>
      <c r="B275" s="4">
        <v>45449.823923611111</v>
      </c>
      <c r="C275" t="s">
        <v>43</v>
      </c>
      <c r="D275" s="41" t="s">
        <v>20</v>
      </c>
      <c r="E275" s="41">
        <v>1</v>
      </c>
      <c r="F275" s="42">
        <v>4.95</v>
      </c>
      <c r="G275" s="41">
        <v>4.95</v>
      </c>
    </row>
    <row r="276" spans="1:7" x14ac:dyDescent="0.4">
      <c r="A276">
        <v>1054</v>
      </c>
      <c r="B276" s="4">
        <v>45449.823923611111</v>
      </c>
      <c r="C276" t="s">
        <v>43</v>
      </c>
      <c r="D276" t="s">
        <v>14</v>
      </c>
      <c r="E276">
        <v>1</v>
      </c>
      <c r="F276" s="5">
        <v>3.49</v>
      </c>
      <c r="G276">
        <v>3.49</v>
      </c>
    </row>
    <row r="277" spans="1:7" x14ac:dyDescent="0.4">
      <c r="A277">
        <v>1054</v>
      </c>
      <c r="B277" s="4">
        <v>45449.823923611111</v>
      </c>
      <c r="C277" t="s">
        <v>43</v>
      </c>
      <c r="D277" t="s">
        <v>12</v>
      </c>
      <c r="E277">
        <v>1</v>
      </c>
      <c r="F277" s="5">
        <v>1.95</v>
      </c>
      <c r="G277">
        <v>1.95</v>
      </c>
    </row>
    <row r="278" spans="1:7" x14ac:dyDescent="0.4">
      <c r="A278">
        <v>1054</v>
      </c>
      <c r="B278" s="4">
        <v>45449.823923611111</v>
      </c>
      <c r="C278" t="s">
        <v>43</v>
      </c>
      <c r="D278" t="s">
        <v>16</v>
      </c>
      <c r="E278">
        <v>1</v>
      </c>
      <c r="F278" s="5">
        <v>1.99</v>
      </c>
      <c r="G278">
        <v>1.99</v>
      </c>
    </row>
    <row r="279" spans="1:7" x14ac:dyDescent="0.4">
      <c r="A279">
        <v>1054</v>
      </c>
      <c r="B279" s="4">
        <v>45449.823923611111</v>
      </c>
      <c r="C279" t="s">
        <v>43</v>
      </c>
      <c r="D279" s="41" t="s">
        <v>6</v>
      </c>
      <c r="E279" s="41">
        <v>1</v>
      </c>
      <c r="F279" s="42">
        <v>2.99</v>
      </c>
      <c r="G279" s="41">
        <v>2.99</v>
      </c>
    </row>
    <row r="280" spans="1:7" x14ac:dyDescent="0.4">
      <c r="A280">
        <v>1054</v>
      </c>
      <c r="B280" s="4">
        <v>45449.823923611111</v>
      </c>
      <c r="C280" t="s">
        <v>43</v>
      </c>
      <c r="D280" t="s">
        <v>14</v>
      </c>
      <c r="E280">
        <v>1</v>
      </c>
      <c r="F280" s="5">
        <v>3.49</v>
      </c>
      <c r="G280">
        <v>3.49</v>
      </c>
    </row>
    <row r="281" spans="1:7" x14ac:dyDescent="0.4">
      <c r="A281">
        <v>1055</v>
      </c>
      <c r="B281" s="4">
        <v>45449.84443287037</v>
      </c>
      <c r="C281" t="s">
        <v>43</v>
      </c>
      <c r="D281" s="41" t="s">
        <v>14</v>
      </c>
      <c r="E281" s="41">
        <v>1</v>
      </c>
      <c r="F281" s="42">
        <v>3.49</v>
      </c>
      <c r="G281" s="41">
        <v>3.49</v>
      </c>
    </row>
    <row r="282" spans="1:7" x14ac:dyDescent="0.4">
      <c r="A282">
        <v>1055</v>
      </c>
      <c r="B282" s="4">
        <v>45449.84443287037</v>
      </c>
      <c r="C282" t="s">
        <v>43</v>
      </c>
      <c r="D282" s="41" t="s">
        <v>16</v>
      </c>
      <c r="E282" s="41">
        <v>1</v>
      </c>
      <c r="F282" s="42">
        <v>1.99</v>
      </c>
      <c r="G282" s="41"/>
    </row>
    <row r="283" spans="1:7" x14ac:dyDescent="0.4">
      <c r="A283">
        <v>1055</v>
      </c>
      <c r="B283" s="4">
        <v>45449.84443287037</v>
      </c>
      <c r="C283" t="s">
        <v>43</v>
      </c>
      <c r="D283" t="s">
        <v>8</v>
      </c>
      <c r="E283">
        <v>2</v>
      </c>
      <c r="F283" s="5">
        <v>0.99</v>
      </c>
      <c r="G283" s="41"/>
    </row>
    <row r="284" spans="1:7" x14ac:dyDescent="0.4">
      <c r="A284">
        <v>1055</v>
      </c>
      <c r="B284" s="4">
        <v>45449.84443287037</v>
      </c>
      <c r="C284" t="s">
        <v>43</v>
      </c>
      <c r="D284" t="s">
        <v>10</v>
      </c>
      <c r="E284">
        <v>10</v>
      </c>
      <c r="F284" s="5">
        <v>5.99</v>
      </c>
      <c r="G284" s="41"/>
    </row>
    <row r="285" spans="1:7" x14ac:dyDescent="0.4">
      <c r="A285">
        <v>1055</v>
      </c>
      <c r="B285" s="4">
        <v>45449.84443287037</v>
      </c>
      <c r="C285" t="s">
        <v>43</v>
      </c>
      <c r="D285" t="s">
        <v>10</v>
      </c>
      <c r="E285">
        <v>1</v>
      </c>
      <c r="F285" s="5">
        <v>5.99</v>
      </c>
      <c r="G285" s="41"/>
    </row>
    <row r="286" spans="1:7" x14ac:dyDescent="0.4">
      <c r="A286">
        <v>1055</v>
      </c>
      <c r="B286" s="4">
        <v>45449.84443287037</v>
      </c>
      <c r="C286" t="s">
        <v>43</v>
      </c>
      <c r="D286" s="41" t="s">
        <v>14</v>
      </c>
      <c r="E286" s="41">
        <v>1</v>
      </c>
      <c r="F286" s="42">
        <v>3.49</v>
      </c>
      <c r="G286" s="41"/>
    </row>
    <row r="287" spans="1:7" x14ac:dyDescent="0.4">
      <c r="A287">
        <v>1055</v>
      </c>
      <c r="B287" s="4">
        <v>45449.84443287037</v>
      </c>
      <c r="C287" t="s">
        <v>43</v>
      </c>
      <c r="D287" t="s">
        <v>6</v>
      </c>
      <c r="E287">
        <v>1.1100000000000001</v>
      </c>
      <c r="F287" s="5">
        <v>2.99</v>
      </c>
      <c r="G287" s="41"/>
    </row>
    <row r="288" spans="1:7" x14ac:dyDescent="0.4">
      <c r="A288">
        <v>1055</v>
      </c>
      <c r="B288" s="4">
        <v>45449.84443287037</v>
      </c>
      <c r="C288" t="s">
        <v>43</v>
      </c>
      <c r="D288" t="s">
        <v>8</v>
      </c>
      <c r="E288">
        <v>1</v>
      </c>
      <c r="F288" s="5">
        <v>0.99</v>
      </c>
      <c r="G288" s="41"/>
    </row>
    <row r="289" spans="1:7" x14ac:dyDescent="0.4">
      <c r="A289">
        <v>1055</v>
      </c>
      <c r="B289" s="4">
        <v>45449.84443287037</v>
      </c>
      <c r="C289" t="s">
        <v>43</v>
      </c>
      <c r="D289" t="s">
        <v>10</v>
      </c>
      <c r="E289">
        <v>1</v>
      </c>
      <c r="F289" s="5">
        <v>5.99</v>
      </c>
      <c r="G289" s="41"/>
    </row>
    <row r="290" spans="1:7" x14ac:dyDescent="0.4">
      <c r="A290">
        <v>1055</v>
      </c>
      <c r="B290" s="4">
        <v>45449.84443287037</v>
      </c>
      <c r="C290" t="s">
        <v>43</v>
      </c>
      <c r="D290" s="41" t="s">
        <v>14</v>
      </c>
      <c r="E290" s="41">
        <v>1</v>
      </c>
      <c r="F290" s="42">
        <v>3.49</v>
      </c>
      <c r="G290" s="41"/>
    </row>
    <row r="291" spans="1:7" x14ac:dyDescent="0.4">
      <c r="A291">
        <v>1055</v>
      </c>
      <c r="B291" s="4">
        <v>45449.84443287037</v>
      </c>
      <c r="C291" t="s">
        <v>43</v>
      </c>
      <c r="D291" t="s">
        <v>16</v>
      </c>
      <c r="E291">
        <v>200</v>
      </c>
      <c r="F291" s="5">
        <v>1.99</v>
      </c>
      <c r="G291" s="41"/>
    </row>
    <row r="292" spans="1:7" x14ac:dyDescent="0.4">
      <c r="A292">
        <v>1055</v>
      </c>
      <c r="B292" s="4">
        <v>45449.84443287037</v>
      </c>
      <c r="C292" t="s">
        <v>43</v>
      </c>
      <c r="D292" t="s">
        <v>8</v>
      </c>
      <c r="E292">
        <v>1</v>
      </c>
      <c r="F292" s="5">
        <v>0.99</v>
      </c>
      <c r="G292" s="41"/>
    </row>
    <row r="293" spans="1:7" x14ac:dyDescent="0.4">
      <c r="A293">
        <v>1056</v>
      </c>
      <c r="B293" s="4">
        <v>45449.86204861111</v>
      </c>
      <c r="C293" t="s">
        <v>43</v>
      </c>
      <c r="D293" t="s">
        <v>20</v>
      </c>
      <c r="E293">
        <v>1</v>
      </c>
      <c r="F293" s="5">
        <v>4.95</v>
      </c>
      <c r="G293">
        <v>4.95</v>
      </c>
    </row>
    <row r="294" spans="1:7" x14ac:dyDescent="0.4">
      <c r="A294">
        <v>1056</v>
      </c>
      <c r="B294" s="4">
        <v>45449.86204861111</v>
      </c>
      <c r="C294" t="s">
        <v>43</v>
      </c>
      <c r="D294" t="s">
        <v>14</v>
      </c>
      <c r="E294">
        <v>1</v>
      </c>
      <c r="F294" s="5">
        <v>3.49</v>
      </c>
      <c r="G294">
        <v>3.49</v>
      </c>
    </row>
    <row r="295" spans="1:7" x14ac:dyDescent="0.4">
      <c r="A295">
        <v>1056</v>
      </c>
      <c r="B295" s="4">
        <v>45449.86204861111</v>
      </c>
      <c r="C295" t="s">
        <v>43</v>
      </c>
      <c r="D295" s="41" t="s">
        <v>22</v>
      </c>
      <c r="E295" s="41">
        <v>1</v>
      </c>
      <c r="F295" s="42">
        <v>4.95</v>
      </c>
      <c r="G295" s="41">
        <v>4.95</v>
      </c>
    </row>
    <row r="296" spans="1:7" x14ac:dyDescent="0.4">
      <c r="A296">
        <v>1056</v>
      </c>
      <c r="B296" s="4">
        <v>45449.86204861111</v>
      </c>
      <c r="C296" t="s">
        <v>43</v>
      </c>
      <c r="D296" s="41" t="s">
        <v>12</v>
      </c>
      <c r="E296" s="41">
        <v>101.11</v>
      </c>
      <c r="F296" s="42">
        <v>1.95</v>
      </c>
      <c r="G296" s="41">
        <v>197.16</v>
      </c>
    </row>
    <row r="297" spans="1:7" x14ac:dyDescent="0.4">
      <c r="A297">
        <v>1056</v>
      </c>
      <c r="B297" s="4">
        <v>45449.86204861111</v>
      </c>
      <c r="C297" t="s">
        <v>43</v>
      </c>
      <c r="D297" s="41" t="s">
        <v>14</v>
      </c>
      <c r="E297" s="41">
        <v>1</v>
      </c>
      <c r="F297" s="42">
        <v>3.49</v>
      </c>
      <c r="G297" s="41">
        <v>3.49</v>
      </c>
    </row>
    <row r="298" spans="1:7" x14ac:dyDescent="0.4">
      <c r="A298">
        <v>1056</v>
      </c>
      <c r="B298" s="4">
        <v>45449.86204861111</v>
      </c>
      <c r="C298" t="s">
        <v>43</v>
      </c>
      <c r="D298" t="s">
        <v>14</v>
      </c>
      <c r="E298">
        <v>1</v>
      </c>
      <c r="F298" s="5">
        <v>3.49</v>
      </c>
      <c r="G298">
        <v>3.49</v>
      </c>
    </row>
    <row r="299" spans="1:7" x14ac:dyDescent="0.4">
      <c r="A299">
        <v>1056</v>
      </c>
      <c r="B299" s="4">
        <v>45449.86204861111</v>
      </c>
      <c r="C299" t="s">
        <v>43</v>
      </c>
      <c r="D299" t="s">
        <v>12</v>
      </c>
      <c r="E299">
        <v>1</v>
      </c>
      <c r="F299" s="5">
        <v>1.95</v>
      </c>
      <c r="G299">
        <v>1.95</v>
      </c>
    </row>
    <row r="300" spans="1:7" x14ac:dyDescent="0.4">
      <c r="A300">
        <v>1056</v>
      </c>
      <c r="B300" s="4">
        <v>45449.86204861111</v>
      </c>
      <c r="C300" t="s">
        <v>43</v>
      </c>
      <c r="D300" t="s">
        <v>6</v>
      </c>
      <c r="E300">
        <v>1</v>
      </c>
      <c r="F300" s="5">
        <v>2.99</v>
      </c>
      <c r="G300" s="41">
        <v>2.99</v>
      </c>
    </row>
    <row r="301" spans="1:7" x14ac:dyDescent="0.4">
      <c r="A301">
        <v>1056</v>
      </c>
      <c r="B301" s="4">
        <v>45449.86204861111</v>
      </c>
      <c r="C301" t="s">
        <v>43</v>
      </c>
      <c r="D301" t="s">
        <v>16</v>
      </c>
      <c r="E301">
        <v>1</v>
      </c>
      <c r="F301" s="5">
        <v>1.99</v>
      </c>
      <c r="G301" s="41">
        <v>1.99</v>
      </c>
    </row>
    <row r="302" spans="1:7" x14ac:dyDescent="0.4">
      <c r="A302">
        <v>1056</v>
      </c>
      <c r="B302" s="4">
        <v>45449.86204861111</v>
      </c>
      <c r="C302" t="s">
        <v>43</v>
      </c>
      <c r="D302" s="41" t="s">
        <v>16</v>
      </c>
      <c r="E302" s="41">
        <v>1</v>
      </c>
      <c r="F302" s="42">
        <v>1.99</v>
      </c>
      <c r="G302" s="41">
        <v>1.99</v>
      </c>
    </row>
    <row r="303" spans="1:7" x14ac:dyDescent="0.4">
      <c r="A303">
        <v>1056</v>
      </c>
      <c r="B303" s="4">
        <v>45449.86204861111</v>
      </c>
      <c r="C303" t="s">
        <v>43</v>
      </c>
      <c r="D303" t="s">
        <v>16</v>
      </c>
      <c r="E303">
        <v>1</v>
      </c>
      <c r="F303" s="5">
        <v>1.99</v>
      </c>
      <c r="G303" s="41">
        <v>1.99</v>
      </c>
    </row>
    <row r="304" spans="1:7" x14ac:dyDescent="0.4">
      <c r="A304">
        <v>1057</v>
      </c>
      <c r="B304" s="4">
        <v>45449.86215277778</v>
      </c>
      <c r="C304" t="s">
        <v>43</v>
      </c>
      <c r="D304" t="s">
        <v>20</v>
      </c>
      <c r="E304">
        <v>1</v>
      </c>
      <c r="F304" s="5">
        <v>4.95</v>
      </c>
      <c r="G304">
        <v>4.95</v>
      </c>
    </row>
    <row r="305" spans="1:7" x14ac:dyDescent="0.4">
      <c r="A305">
        <v>1057</v>
      </c>
      <c r="B305" s="4">
        <v>45449.86215277778</v>
      </c>
      <c r="C305" t="s">
        <v>43</v>
      </c>
      <c r="D305" t="s">
        <v>14</v>
      </c>
      <c r="E305">
        <v>1</v>
      </c>
      <c r="F305" s="5">
        <v>3.49</v>
      </c>
      <c r="G305">
        <v>3.49</v>
      </c>
    </row>
    <row r="306" spans="1:7" x14ac:dyDescent="0.4">
      <c r="A306">
        <v>1057</v>
      </c>
      <c r="B306" s="4">
        <v>45449.86215277778</v>
      </c>
      <c r="C306" t="s">
        <v>43</v>
      </c>
      <c r="D306" t="s">
        <v>22</v>
      </c>
      <c r="E306">
        <v>1</v>
      </c>
      <c r="F306" s="5">
        <v>4.95</v>
      </c>
      <c r="G306">
        <v>4.95</v>
      </c>
    </row>
    <row r="307" spans="1:7" x14ac:dyDescent="0.4">
      <c r="A307">
        <v>1057</v>
      </c>
      <c r="B307" s="4">
        <v>45449.86215277778</v>
      </c>
      <c r="C307" t="s">
        <v>43</v>
      </c>
      <c r="D307" t="s">
        <v>12</v>
      </c>
      <c r="E307">
        <v>101.11</v>
      </c>
      <c r="F307" s="5">
        <v>1.95</v>
      </c>
      <c r="G307">
        <v>197.16</v>
      </c>
    </row>
    <row r="308" spans="1:7" x14ac:dyDescent="0.4">
      <c r="A308">
        <v>1057</v>
      </c>
      <c r="B308" s="4">
        <v>45449.86215277778</v>
      </c>
      <c r="C308" t="s">
        <v>43</v>
      </c>
      <c r="D308" t="s">
        <v>14</v>
      </c>
      <c r="E308">
        <v>1</v>
      </c>
      <c r="F308" s="5">
        <v>3.49</v>
      </c>
      <c r="G308">
        <v>3.49</v>
      </c>
    </row>
    <row r="309" spans="1:7" x14ac:dyDescent="0.4">
      <c r="A309">
        <v>1057</v>
      </c>
      <c r="B309" s="4">
        <v>45449.86215277778</v>
      </c>
      <c r="C309" t="s">
        <v>43</v>
      </c>
      <c r="D309" t="s">
        <v>14</v>
      </c>
      <c r="E309">
        <v>1</v>
      </c>
      <c r="F309" s="5">
        <v>3.49</v>
      </c>
      <c r="G309">
        <v>3.49</v>
      </c>
    </row>
    <row r="310" spans="1:7" x14ac:dyDescent="0.4">
      <c r="A310">
        <v>1057</v>
      </c>
      <c r="B310" s="4">
        <v>45449.86215277778</v>
      </c>
      <c r="C310" t="s">
        <v>43</v>
      </c>
      <c r="D310" t="s">
        <v>12</v>
      </c>
      <c r="E310">
        <v>1</v>
      </c>
      <c r="F310" s="5">
        <v>1.95</v>
      </c>
      <c r="G310">
        <v>1.95</v>
      </c>
    </row>
    <row r="311" spans="1:7" x14ac:dyDescent="0.4">
      <c r="A311">
        <v>1057</v>
      </c>
      <c r="B311" s="4">
        <v>45449.86215277778</v>
      </c>
      <c r="C311" t="s">
        <v>43</v>
      </c>
      <c r="D311" t="s">
        <v>6</v>
      </c>
      <c r="E311">
        <v>1</v>
      </c>
      <c r="F311" s="5">
        <v>2.99</v>
      </c>
      <c r="G311">
        <v>2.99</v>
      </c>
    </row>
    <row r="312" spans="1:7" x14ac:dyDescent="0.4">
      <c r="A312">
        <v>1057</v>
      </c>
      <c r="B312" s="4">
        <v>45449.86215277778</v>
      </c>
      <c r="C312" t="s">
        <v>43</v>
      </c>
      <c r="D312" t="s">
        <v>16</v>
      </c>
      <c r="E312">
        <v>1</v>
      </c>
      <c r="F312" s="5">
        <v>1.99</v>
      </c>
      <c r="G312">
        <v>1.99</v>
      </c>
    </row>
    <row r="313" spans="1:7" x14ac:dyDescent="0.4">
      <c r="A313">
        <v>1057</v>
      </c>
      <c r="B313" s="4">
        <v>45449.86215277778</v>
      </c>
      <c r="C313" t="s">
        <v>43</v>
      </c>
      <c r="D313" t="s">
        <v>16</v>
      </c>
      <c r="E313">
        <v>1</v>
      </c>
      <c r="F313" s="5">
        <v>1.99</v>
      </c>
      <c r="G313">
        <v>1.99</v>
      </c>
    </row>
    <row r="314" spans="1:7" x14ac:dyDescent="0.4">
      <c r="A314">
        <v>1057</v>
      </c>
      <c r="B314" s="4">
        <v>45449.86215277778</v>
      </c>
      <c r="C314" t="s">
        <v>43</v>
      </c>
      <c r="D314" t="s">
        <v>16</v>
      </c>
      <c r="E314">
        <v>1</v>
      </c>
      <c r="F314" s="5">
        <v>1.99</v>
      </c>
      <c r="G314">
        <v>1.99</v>
      </c>
    </row>
    <row r="315" spans="1:7" x14ac:dyDescent="0.4">
      <c r="A315">
        <v>1058</v>
      </c>
      <c r="B315" s="4">
        <v>45449.862199074072</v>
      </c>
      <c r="C315" t="s">
        <v>43</v>
      </c>
      <c r="D315" t="s">
        <v>20</v>
      </c>
      <c r="E315">
        <v>1</v>
      </c>
      <c r="F315" s="5">
        <v>4.95</v>
      </c>
      <c r="G315">
        <v>4.95</v>
      </c>
    </row>
    <row r="316" spans="1:7" x14ac:dyDescent="0.4">
      <c r="A316">
        <v>1058</v>
      </c>
      <c r="B316" s="4">
        <v>45449.862199074072</v>
      </c>
      <c r="C316" t="s">
        <v>43</v>
      </c>
      <c r="D316" t="s">
        <v>14</v>
      </c>
      <c r="E316">
        <v>1</v>
      </c>
      <c r="F316" s="5">
        <v>3.49</v>
      </c>
      <c r="G316">
        <v>3.49</v>
      </c>
    </row>
    <row r="317" spans="1:7" x14ac:dyDescent="0.4">
      <c r="A317">
        <v>1058</v>
      </c>
      <c r="B317" s="4">
        <v>45449.862199074072</v>
      </c>
      <c r="C317" t="s">
        <v>43</v>
      </c>
      <c r="D317" t="s">
        <v>22</v>
      </c>
      <c r="E317">
        <v>1</v>
      </c>
      <c r="F317" s="5">
        <v>4.95</v>
      </c>
      <c r="G317">
        <v>4.95</v>
      </c>
    </row>
    <row r="318" spans="1:7" x14ac:dyDescent="0.4">
      <c r="A318">
        <v>1058</v>
      </c>
      <c r="B318" s="4">
        <v>45449.862199074072</v>
      </c>
      <c r="C318" t="s">
        <v>43</v>
      </c>
      <c r="D318" t="s">
        <v>12</v>
      </c>
      <c r="E318">
        <v>101.11</v>
      </c>
      <c r="F318" s="5">
        <v>1.95</v>
      </c>
      <c r="G318">
        <v>197.16</v>
      </c>
    </row>
    <row r="319" spans="1:7" x14ac:dyDescent="0.4">
      <c r="A319">
        <v>1058</v>
      </c>
      <c r="B319" s="4">
        <v>45449.862199074072</v>
      </c>
      <c r="C319" t="s">
        <v>43</v>
      </c>
      <c r="D319" t="s">
        <v>14</v>
      </c>
      <c r="E319">
        <v>1</v>
      </c>
      <c r="F319" s="5">
        <v>3.49</v>
      </c>
      <c r="G319">
        <v>3.49</v>
      </c>
    </row>
    <row r="320" spans="1:7" x14ac:dyDescent="0.4">
      <c r="A320">
        <v>1058</v>
      </c>
      <c r="B320" s="4">
        <v>45449.862199074072</v>
      </c>
      <c r="C320" t="s">
        <v>43</v>
      </c>
      <c r="D320" t="s">
        <v>14</v>
      </c>
      <c r="E320">
        <v>1</v>
      </c>
      <c r="F320" s="5">
        <v>3.49</v>
      </c>
      <c r="G320">
        <v>3.49</v>
      </c>
    </row>
    <row r="321" spans="1:7" x14ac:dyDescent="0.4">
      <c r="A321">
        <v>1058</v>
      </c>
      <c r="B321" s="4">
        <v>45449.862199074072</v>
      </c>
      <c r="C321" t="s">
        <v>43</v>
      </c>
      <c r="D321" t="s">
        <v>12</v>
      </c>
      <c r="E321">
        <v>1</v>
      </c>
      <c r="F321" s="5">
        <v>1.95</v>
      </c>
      <c r="G321">
        <v>1.95</v>
      </c>
    </row>
    <row r="322" spans="1:7" x14ac:dyDescent="0.4">
      <c r="A322">
        <v>1058</v>
      </c>
      <c r="B322" s="4">
        <v>45449.862199074072</v>
      </c>
      <c r="C322" t="s">
        <v>43</v>
      </c>
      <c r="D322" t="s">
        <v>6</v>
      </c>
      <c r="E322">
        <v>1</v>
      </c>
      <c r="F322" s="5">
        <v>2.99</v>
      </c>
      <c r="G322">
        <v>2.99</v>
      </c>
    </row>
    <row r="323" spans="1:7" x14ac:dyDescent="0.4">
      <c r="A323">
        <v>1058</v>
      </c>
      <c r="B323" s="4">
        <v>45449.862199074072</v>
      </c>
      <c r="C323" t="s">
        <v>43</v>
      </c>
      <c r="D323" t="s">
        <v>16</v>
      </c>
      <c r="E323">
        <v>1</v>
      </c>
      <c r="F323" s="5">
        <v>1.99</v>
      </c>
      <c r="G323">
        <v>1.99</v>
      </c>
    </row>
    <row r="324" spans="1:7" x14ac:dyDescent="0.4">
      <c r="A324">
        <v>1058</v>
      </c>
      <c r="B324" s="4">
        <v>45449.862199074072</v>
      </c>
      <c r="C324" t="s">
        <v>43</v>
      </c>
      <c r="D324" t="s">
        <v>16</v>
      </c>
      <c r="E324">
        <v>1</v>
      </c>
      <c r="F324" s="5">
        <v>1.99</v>
      </c>
      <c r="G324">
        <v>1.99</v>
      </c>
    </row>
    <row r="325" spans="1:7" x14ac:dyDescent="0.4">
      <c r="A325">
        <v>1058</v>
      </c>
      <c r="B325" s="4">
        <v>45449.862199074072</v>
      </c>
      <c r="C325" t="s">
        <v>43</v>
      </c>
      <c r="D325" t="s">
        <v>16</v>
      </c>
      <c r="E325">
        <v>1</v>
      </c>
      <c r="F325" s="5">
        <v>1.99</v>
      </c>
      <c r="G325">
        <v>1.99</v>
      </c>
    </row>
    <row r="326" spans="1:7" x14ac:dyDescent="0.4">
      <c r="A326">
        <v>1059</v>
      </c>
      <c r="B326" s="4">
        <v>45449.867754629631</v>
      </c>
      <c r="C326" t="s">
        <v>43</v>
      </c>
      <c r="D326" t="s">
        <v>20</v>
      </c>
      <c r="E326">
        <v>1</v>
      </c>
      <c r="F326" s="5">
        <v>4.95</v>
      </c>
      <c r="G326">
        <v>4.95</v>
      </c>
    </row>
    <row r="327" spans="1:7" x14ac:dyDescent="0.4">
      <c r="A327">
        <v>1059</v>
      </c>
      <c r="B327" s="4">
        <v>45449.867754629631</v>
      </c>
      <c r="C327" t="s">
        <v>43</v>
      </c>
      <c r="D327" t="s">
        <v>14</v>
      </c>
      <c r="E327">
        <v>1</v>
      </c>
      <c r="F327" s="5">
        <v>3.49</v>
      </c>
      <c r="G327">
        <v>3.49</v>
      </c>
    </row>
    <row r="328" spans="1:7" x14ac:dyDescent="0.4">
      <c r="A328">
        <v>1059</v>
      </c>
      <c r="B328" s="4">
        <v>45449.867754629631</v>
      </c>
      <c r="C328" t="s">
        <v>43</v>
      </c>
      <c r="D328" t="s">
        <v>22</v>
      </c>
      <c r="E328">
        <v>1</v>
      </c>
      <c r="F328" s="5">
        <v>4.95</v>
      </c>
      <c r="G328">
        <v>4.95</v>
      </c>
    </row>
    <row r="329" spans="1:7" x14ac:dyDescent="0.4">
      <c r="A329">
        <v>1059</v>
      </c>
      <c r="B329" s="4">
        <v>45449.867754629631</v>
      </c>
      <c r="C329" t="s">
        <v>43</v>
      </c>
      <c r="D329" s="41" t="s">
        <v>12</v>
      </c>
      <c r="E329" s="41">
        <v>101.11</v>
      </c>
      <c r="F329" s="42">
        <v>1.95</v>
      </c>
      <c r="G329" s="41">
        <v>197.16</v>
      </c>
    </row>
    <row r="330" spans="1:7" x14ac:dyDescent="0.4">
      <c r="A330">
        <v>1059</v>
      </c>
      <c r="B330" s="4">
        <v>45449.867754629631</v>
      </c>
      <c r="C330" t="s">
        <v>43</v>
      </c>
      <c r="D330" s="41" t="s">
        <v>14</v>
      </c>
      <c r="E330" s="41">
        <v>1</v>
      </c>
      <c r="F330" s="42">
        <v>3.49</v>
      </c>
      <c r="G330" s="41">
        <v>3.49</v>
      </c>
    </row>
    <row r="331" spans="1:7" x14ac:dyDescent="0.4">
      <c r="A331">
        <v>1059</v>
      </c>
      <c r="B331" s="4">
        <v>45449.867754629631</v>
      </c>
      <c r="C331" t="s">
        <v>43</v>
      </c>
      <c r="D331" s="41" t="s">
        <v>14</v>
      </c>
      <c r="E331" s="41">
        <v>1</v>
      </c>
      <c r="F331" s="42">
        <v>3.49</v>
      </c>
      <c r="G331" s="41">
        <v>3.49</v>
      </c>
    </row>
    <row r="332" spans="1:7" x14ac:dyDescent="0.4">
      <c r="A332">
        <v>1059</v>
      </c>
      <c r="B332" s="4">
        <v>45449.867754629631</v>
      </c>
      <c r="C332" t="s">
        <v>43</v>
      </c>
      <c r="D332" s="41" t="s">
        <v>12</v>
      </c>
      <c r="E332" s="41">
        <v>1</v>
      </c>
      <c r="F332" s="42">
        <v>1.95</v>
      </c>
      <c r="G332" s="41">
        <v>1.95</v>
      </c>
    </row>
    <row r="333" spans="1:7" x14ac:dyDescent="0.4">
      <c r="A333">
        <v>1059</v>
      </c>
      <c r="B333" s="4">
        <v>45449.867754629631</v>
      </c>
      <c r="C333" t="s">
        <v>43</v>
      </c>
      <c r="D333" t="s">
        <v>6</v>
      </c>
      <c r="E333">
        <v>1</v>
      </c>
      <c r="F333" s="5">
        <v>2.99</v>
      </c>
      <c r="G333">
        <v>2.99</v>
      </c>
    </row>
    <row r="334" spans="1:7" x14ac:dyDescent="0.4">
      <c r="A334">
        <v>1059</v>
      </c>
      <c r="B334" s="4">
        <v>45449.867754629631</v>
      </c>
      <c r="C334" t="s">
        <v>43</v>
      </c>
      <c r="D334" t="s">
        <v>16</v>
      </c>
      <c r="E334">
        <v>1</v>
      </c>
      <c r="F334" s="5">
        <v>1.99</v>
      </c>
      <c r="G334">
        <v>1.99</v>
      </c>
    </row>
    <row r="335" spans="1:7" x14ac:dyDescent="0.4">
      <c r="A335">
        <v>1059</v>
      </c>
      <c r="B335" s="4">
        <v>45449.867754629631</v>
      </c>
      <c r="C335" t="s">
        <v>43</v>
      </c>
      <c r="D335" t="s">
        <v>16</v>
      </c>
      <c r="E335">
        <v>1</v>
      </c>
      <c r="F335" s="5">
        <v>1.99</v>
      </c>
      <c r="G335">
        <v>1.99</v>
      </c>
    </row>
    <row r="336" spans="1:7" x14ac:dyDescent="0.4">
      <c r="A336">
        <v>1059</v>
      </c>
      <c r="B336" s="4">
        <v>45449.867754629631</v>
      </c>
      <c r="C336" t="s">
        <v>43</v>
      </c>
      <c r="D336" t="s">
        <v>16</v>
      </c>
      <c r="E336">
        <v>1</v>
      </c>
      <c r="F336" s="5">
        <v>1.99</v>
      </c>
      <c r="G336">
        <v>1.99</v>
      </c>
    </row>
    <row r="337" spans="1:7" x14ac:dyDescent="0.4">
      <c r="A337">
        <v>1060</v>
      </c>
      <c r="B337" s="4">
        <v>45449.869328703702</v>
      </c>
      <c r="C337" t="s">
        <v>43</v>
      </c>
      <c r="D337" t="s">
        <v>20</v>
      </c>
      <c r="E337">
        <v>1</v>
      </c>
      <c r="F337" s="5">
        <v>4.95</v>
      </c>
      <c r="G337">
        <v>4.95</v>
      </c>
    </row>
    <row r="338" spans="1:7" x14ac:dyDescent="0.4">
      <c r="A338">
        <v>1060</v>
      </c>
      <c r="B338" s="4">
        <v>45449.869328703702</v>
      </c>
      <c r="C338" t="s">
        <v>43</v>
      </c>
      <c r="D338" t="s">
        <v>14</v>
      </c>
      <c r="E338">
        <v>1</v>
      </c>
      <c r="F338" s="5">
        <v>3.49</v>
      </c>
      <c r="G338">
        <v>3.49</v>
      </c>
    </row>
    <row r="339" spans="1:7" x14ac:dyDescent="0.4">
      <c r="A339">
        <v>1060</v>
      </c>
      <c r="B339" s="4">
        <v>45449.869328703702</v>
      </c>
      <c r="C339" t="s">
        <v>43</v>
      </c>
      <c r="D339" t="s">
        <v>22</v>
      </c>
      <c r="E339">
        <v>1</v>
      </c>
      <c r="F339" s="5">
        <v>4.95</v>
      </c>
      <c r="G339">
        <v>4.95</v>
      </c>
    </row>
    <row r="340" spans="1:7" x14ac:dyDescent="0.4">
      <c r="A340">
        <v>1060</v>
      </c>
      <c r="B340" s="4">
        <v>45449.869328703702</v>
      </c>
      <c r="C340" t="s">
        <v>43</v>
      </c>
      <c r="D340" t="s">
        <v>12</v>
      </c>
      <c r="E340">
        <v>101.11</v>
      </c>
      <c r="F340" s="5">
        <v>1.95</v>
      </c>
      <c r="G340">
        <v>197.16</v>
      </c>
    </row>
    <row r="341" spans="1:7" x14ac:dyDescent="0.4">
      <c r="A341">
        <v>1060</v>
      </c>
      <c r="B341" s="4">
        <v>45449.869328703702</v>
      </c>
      <c r="C341" t="s">
        <v>43</v>
      </c>
      <c r="D341" t="s">
        <v>14</v>
      </c>
      <c r="E341">
        <v>1</v>
      </c>
      <c r="F341" s="5">
        <v>3.49</v>
      </c>
      <c r="G341">
        <v>3.49</v>
      </c>
    </row>
    <row r="342" spans="1:7" x14ac:dyDescent="0.4">
      <c r="A342">
        <v>1060</v>
      </c>
      <c r="B342" s="4">
        <v>45449.869328703702</v>
      </c>
      <c r="C342" t="s">
        <v>43</v>
      </c>
      <c r="D342" t="s">
        <v>14</v>
      </c>
      <c r="E342">
        <v>1</v>
      </c>
      <c r="F342" s="5">
        <v>3.49</v>
      </c>
      <c r="G342">
        <v>3.49</v>
      </c>
    </row>
    <row r="343" spans="1:7" x14ac:dyDescent="0.4">
      <c r="A343">
        <v>1060</v>
      </c>
      <c r="B343" s="4">
        <v>45449.869328703702</v>
      </c>
      <c r="C343" t="s">
        <v>43</v>
      </c>
      <c r="D343" t="s">
        <v>12</v>
      </c>
      <c r="E343">
        <v>1</v>
      </c>
      <c r="F343" s="5">
        <v>1.95</v>
      </c>
      <c r="G343">
        <v>1.95</v>
      </c>
    </row>
    <row r="344" spans="1:7" x14ac:dyDescent="0.4">
      <c r="A344">
        <v>1060</v>
      </c>
      <c r="B344" s="4">
        <v>45449.869328703702</v>
      </c>
      <c r="C344" t="s">
        <v>43</v>
      </c>
      <c r="D344" t="s">
        <v>6</v>
      </c>
      <c r="E344">
        <v>1</v>
      </c>
      <c r="F344" s="5">
        <v>2.99</v>
      </c>
      <c r="G344">
        <v>2.99</v>
      </c>
    </row>
    <row r="345" spans="1:7" x14ac:dyDescent="0.4">
      <c r="A345">
        <v>1060</v>
      </c>
      <c r="B345" s="4">
        <v>45449.869328703702</v>
      </c>
      <c r="C345" t="s">
        <v>43</v>
      </c>
      <c r="D345" t="s">
        <v>16</v>
      </c>
      <c r="E345">
        <v>1</v>
      </c>
      <c r="F345" s="5">
        <v>1.99</v>
      </c>
      <c r="G345">
        <v>1.99</v>
      </c>
    </row>
    <row r="346" spans="1:7" x14ac:dyDescent="0.4">
      <c r="A346">
        <v>1060</v>
      </c>
      <c r="B346" s="4">
        <v>45449.869328703702</v>
      </c>
      <c r="C346" t="s">
        <v>43</v>
      </c>
      <c r="D346" t="s">
        <v>16</v>
      </c>
      <c r="E346">
        <v>1</v>
      </c>
      <c r="F346" s="5">
        <v>1.99</v>
      </c>
      <c r="G346">
        <v>1.99</v>
      </c>
    </row>
    <row r="347" spans="1:7" x14ac:dyDescent="0.4">
      <c r="A347">
        <v>1060</v>
      </c>
      <c r="B347" s="4">
        <v>45449.869328703702</v>
      </c>
      <c r="C347" t="s">
        <v>43</v>
      </c>
      <c r="D347" t="s">
        <v>16</v>
      </c>
      <c r="E347">
        <v>1</v>
      </c>
      <c r="F347" s="5">
        <v>1.99</v>
      </c>
      <c r="G347">
        <v>1.99</v>
      </c>
    </row>
    <row r="348" spans="1:7" x14ac:dyDescent="0.4">
      <c r="A348">
        <v>1061</v>
      </c>
      <c r="B348" s="4">
        <v>45449.904953703706</v>
      </c>
      <c r="C348" t="s">
        <v>43</v>
      </c>
      <c r="D348" t="s">
        <v>16</v>
      </c>
      <c r="E348">
        <v>1</v>
      </c>
      <c r="F348" s="5">
        <v>1.99</v>
      </c>
      <c r="G348">
        <v>1.99</v>
      </c>
    </row>
    <row r="349" spans="1:7" x14ac:dyDescent="0.4">
      <c r="A349">
        <v>1061</v>
      </c>
      <c r="B349" s="4">
        <v>45449.904953703706</v>
      </c>
      <c r="C349" t="s">
        <v>43</v>
      </c>
      <c r="D349" t="s">
        <v>8</v>
      </c>
      <c r="E349">
        <v>1</v>
      </c>
      <c r="F349" s="5">
        <v>0.99</v>
      </c>
      <c r="G349">
        <v>0.99</v>
      </c>
    </row>
    <row r="350" spans="1:7" x14ac:dyDescent="0.4">
      <c r="A350">
        <v>1061</v>
      </c>
      <c r="B350" s="4">
        <v>45449.904953703706</v>
      </c>
      <c r="C350" t="s">
        <v>43</v>
      </c>
      <c r="D350" t="s">
        <v>6</v>
      </c>
      <c r="E350">
        <v>1</v>
      </c>
      <c r="F350" s="5">
        <v>2.99</v>
      </c>
      <c r="G350">
        <v>2.99</v>
      </c>
    </row>
    <row r="351" spans="1:7" x14ac:dyDescent="0.4">
      <c r="A351">
        <v>1061</v>
      </c>
      <c r="B351" s="4">
        <v>45449.904953703706</v>
      </c>
      <c r="C351" t="s">
        <v>43</v>
      </c>
      <c r="D351" t="s">
        <v>22</v>
      </c>
      <c r="E351">
        <v>1</v>
      </c>
      <c r="F351" s="5">
        <v>4.95</v>
      </c>
      <c r="G351">
        <v>4.95</v>
      </c>
    </row>
    <row r="352" spans="1:7" x14ac:dyDescent="0.4">
      <c r="A352">
        <v>1061</v>
      </c>
      <c r="B352" s="4">
        <v>45449.904953703706</v>
      </c>
      <c r="C352" t="s">
        <v>43</v>
      </c>
      <c r="D352" t="s">
        <v>18</v>
      </c>
      <c r="E352">
        <v>1</v>
      </c>
      <c r="F352" s="5">
        <v>3.99</v>
      </c>
      <c r="G352">
        <v>3.99</v>
      </c>
    </row>
    <row r="353" spans="1:7" x14ac:dyDescent="0.4">
      <c r="A353">
        <v>1061</v>
      </c>
      <c r="B353" s="4">
        <v>45449.904953703706</v>
      </c>
      <c r="C353" t="s">
        <v>43</v>
      </c>
      <c r="D353" t="s">
        <v>14</v>
      </c>
      <c r="E353">
        <v>1</v>
      </c>
      <c r="F353" s="5">
        <v>3.49</v>
      </c>
      <c r="G353">
        <v>3.49</v>
      </c>
    </row>
    <row r="354" spans="1:7" x14ac:dyDescent="0.4">
      <c r="A354">
        <v>1061</v>
      </c>
      <c r="B354" s="4">
        <v>45449.904953703706</v>
      </c>
      <c r="C354" t="s">
        <v>43</v>
      </c>
      <c r="D354" t="s">
        <v>10</v>
      </c>
      <c r="E354">
        <v>1</v>
      </c>
      <c r="F354" s="5">
        <v>5.99</v>
      </c>
      <c r="G354">
        <v>5.99</v>
      </c>
    </row>
    <row r="355" spans="1:7" x14ac:dyDescent="0.4">
      <c r="A355">
        <v>1061</v>
      </c>
      <c r="B355" s="4">
        <v>45449.904953703706</v>
      </c>
      <c r="C355" t="s">
        <v>43</v>
      </c>
      <c r="D355" t="s">
        <v>14</v>
      </c>
      <c r="E355">
        <v>1</v>
      </c>
      <c r="F355" s="5">
        <v>3.49</v>
      </c>
      <c r="G355">
        <v>3.49</v>
      </c>
    </row>
    <row r="356" spans="1:7" x14ac:dyDescent="0.4">
      <c r="A356">
        <v>1061</v>
      </c>
      <c r="B356" s="4">
        <v>45449.904953703706</v>
      </c>
      <c r="C356" t="s">
        <v>43</v>
      </c>
      <c r="D356" t="s">
        <v>16</v>
      </c>
      <c r="E356">
        <v>1</v>
      </c>
      <c r="F356" s="5">
        <v>1.99</v>
      </c>
      <c r="G356">
        <v>1.99</v>
      </c>
    </row>
    <row r="357" spans="1:7" x14ac:dyDescent="0.4">
      <c r="A357">
        <v>1061</v>
      </c>
      <c r="B357" s="4">
        <v>45449.904953703706</v>
      </c>
      <c r="C357" t="s">
        <v>43</v>
      </c>
      <c r="D357" t="s">
        <v>12</v>
      </c>
      <c r="E357">
        <v>1</v>
      </c>
      <c r="F357" s="5">
        <v>1.95</v>
      </c>
      <c r="G357">
        <v>1.95</v>
      </c>
    </row>
    <row r="358" spans="1:7" x14ac:dyDescent="0.4">
      <c r="A358">
        <v>1061</v>
      </c>
      <c r="B358" s="4">
        <v>45449.904953703706</v>
      </c>
      <c r="C358" t="s">
        <v>43</v>
      </c>
      <c r="D358" t="s">
        <v>16</v>
      </c>
      <c r="E358">
        <v>1</v>
      </c>
      <c r="F358" s="5">
        <v>1.99</v>
      </c>
      <c r="G358">
        <v>1.99</v>
      </c>
    </row>
    <row r="359" spans="1:7" x14ac:dyDescent="0.4">
      <c r="A359">
        <v>1061</v>
      </c>
      <c r="B359" s="4">
        <v>45449.904953703706</v>
      </c>
      <c r="C359" t="s">
        <v>43</v>
      </c>
      <c r="D359" t="s">
        <v>6</v>
      </c>
      <c r="E359">
        <v>1</v>
      </c>
      <c r="F359" s="5">
        <v>2.99</v>
      </c>
      <c r="G359">
        <v>2.99</v>
      </c>
    </row>
    <row r="360" spans="1:7" x14ac:dyDescent="0.4">
      <c r="A360">
        <v>1061</v>
      </c>
      <c r="B360" s="4">
        <v>45449.904953703706</v>
      </c>
      <c r="C360" t="s">
        <v>43</v>
      </c>
      <c r="D360" t="s">
        <v>16</v>
      </c>
      <c r="E360">
        <v>1</v>
      </c>
      <c r="F360" s="5">
        <v>1.99</v>
      </c>
      <c r="G360">
        <v>1.99</v>
      </c>
    </row>
    <row r="361" spans="1:7" x14ac:dyDescent="0.4">
      <c r="A361">
        <v>1061</v>
      </c>
      <c r="B361" s="4">
        <v>45449.904953703706</v>
      </c>
      <c r="C361" t="s">
        <v>43</v>
      </c>
      <c r="D361" t="s">
        <v>6</v>
      </c>
      <c r="E361">
        <v>1</v>
      </c>
      <c r="F361" s="5">
        <v>2.99</v>
      </c>
      <c r="G361">
        <v>2.99</v>
      </c>
    </row>
    <row r="362" spans="1:7" x14ac:dyDescent="0.4">
      <c r="A362">
        <v>1061</v>
      </c>
      <c r="B362" s="4">
        <v>45449.904953703706</v>
      </c>
      <c r="C362" t="s">
        <v>43</v>
      </c>
      <c r="D362" t="s">
        <v>12</v>
      </c>
      <c r="E362">
        <v>1</v>
      </c>
      <c r="F362" s="5">
        <v>1.95</v>
      </c>
      <c r="G362">
        <v>1.95</v>
      </c>
    </row>
    <row r="363" spans="1:7" x14ac:dyDescent="0.4">
      <c r="A363">
        <v>1061</v>
      </c>
      <c r="B363" s="4">
        <v>45449.904953703706</v>
      </c>
      <c r="C363" t="s">
        <v>43</v>
      </c>
      <c r="D363" t="s">
        <v>14</v>
      </c>
      <c r="E363">
        <v>1</v>
      </c>
      <c r="F363" s="5">
        <v>3.49</v>
      </c>
      <c r="G363">
        <v>3.49</v>
      </c>
    </row>
    <row r="364" spans="1:7" x14ac:dyDescent="0.4">
      <c r="A364">
        <v>1061</v>
      </c>
      <c r="B364" s="4">
        <v>45449.904953703706</v>
      </c>
      <c r="C364" t="s">
        <v>43</v>
      </c>
      <c r="D364" t="s">
        <v>14</v>
      </c>
      <c r="E364">
        <v>1</v>
      </c>
      <c r="F364" s="5">
        <v>3.49</v>
      </c>
      <c r="G364">
        <v>3.49</v>
      </c>
    </row>
    <row r="365" spans="1:7" x14ac:dyDescent="0.4">
      <c r="A365">
        <v>1062</v>
      </c>
      <c r="B365" s="4">
        <v>45449.914421296293</v>
      </c>
      <c r="C365" t="s">
        <v>43</v>
      </c>
      <c r="D365" t="s">
        <v>14</v>
      </c>
      <c r="E365">
        <v>1</v>
      </c>
      <c r="F365" s="5">
        <v>3.49</v>
      </c>
      <c r="G365">
        <v>3.49</v>
      </c>
    </row>
    <row r="366" spans="1:7" x14ac:dyDescent="0.4">
      <c r="A366">
        <v>1062</v>
      </c>
      <c r="B366" s="4">
        <v>45449.914421296293</v>
      </c>
      <c r="C366" t="s">
        <v>43</v>
      </c>
      <c r="D366" t="s">
        <v>6</v>
      </c>
      <c r="E366">
        <v>1</v>
      </c>
      <c r="F366" s="5">
        <v>2.99</v>
      </c>
      <c r="G366">
        <v>2.99</v>
      </c>
    </row>
    <row r="367" spans="1:7" x14ac:dyDescent="0.4">
      <c r="A367">
        <v>1062</v>
      </c>
      <c r="B367" s="4">
        <v>45449.914421296293</v>
      </c>
      <c r="C367" t="s">
        <v>43</v>
      </c>
      <c r="D367" t="s">
        <v>16</v>
      </c>
      <c r="E367">
        <v>1</v>
      </c>
      <c r="F367" s="5">
        <v>1.99</v>
      </c>
      <c r="G367">
        <v>1.99</v>
      </c>
    </row>
    <row r="368" spans="1:7" x14ac:dyDescent="0.4">
      <c r="A368">
        <v>1062</v>
      </c>
      <c r="B368" s="4">
        <v>45449.914421296293</v>
      </c>
      <c r="C368" t="s">
        <v>43</v>
      </c>
      <c r="D368" t="s">
        <v>10</v>
      </c>
      <c r="E368">
        <v>1</v>
      </c>
      <c r="F368" s="5">
        <v>5.99</v>
      </c>
      <c r="G368">
        <v>5.99</v>
      </c>
    </row>
    <row r="369" spans="1:7" x14ac:dyDescent="0.4">
      <c r="A369">
        <v>1062</v>
      </c>
      <c r="B369" s="4">
        <v>45449.914421296293</v>
      </c>
      <c r="C369" t="s">
        <v>43</v>
      </c>
      <c r="D369" t="s">
        <v>6</v>
      </c>
      <c r="E369">
        <v>2</v>
      </c>
      <c r="F369" s="5">
        <v>2.99</v>
      </c>
      <c r="G369">
        <v>5.98</v>
      </c>
    </row>
    <row r="370" spans="1:7" x14ac:dyDescent="0.4">
      <c r="A370">
        <v>1062</v>
      </c>
      <c r="B370" s="4">
        <v>45449.914421296293</v>
      </c>
      <c r="C370" t="s">
        <v>43</v>
      </c>
      <c r="D370" t="s">
        <v>16</v>
      </c>
      <c r="E370">
        <v>1</v>
      </c>
      <c r="F370" s="5">
        <v>1.99</v>
      </c>
      <c r="G370">
        <v>1.99</v>
      </c>
    </row>
    <row r="371" spans="1:7" x14ac:dyDescent="0.4">
      <c r="A371">
        <v>1062</v>
      </c>
      <c r="B371" s="4">
        <v>45449.914421296293</v>
      </c>
      <c r="C371" t="s">
        <v>43</v>
      </c>
      <c r="D371" t="s">
        <v>14</v>
      </c>
      <c r="E371">
        <v>1</v>
      </c>
      <c r="F371" s="5">
        <v>3.49</v>
      </c>
      <c r="G371">
        <v>3.49</v>
      </c>
    </row>
    <row r="372" spans="1:7" x14ac:dyDescent="0.4">
      <c r="A372">
        <v>1062</v>
      </c>
      <c r="B372" s="4">
        <v>45449.914421296293</v>
      </c>
      <c r="C372" t="s">
        <v>43</v>
      </c>
      <c r="D372" t="s">
        <v>12</v>
      </c>
      <c r="E372">
        <v>1</v>
      </c>
      <c r="F372" s="5">
        <v>1.95</v>
      </c>
      <c r="G372">
        <v>1.95</v>
      </c>
    </row>
    <row r="373" spans="1:7" x14ac:dyDescent="0.4">
      <c r="A373">
        <v>1062</v>
      </c>
      <c r="B373" s="4">
        <v>45449.914421296293</v>
      </c>
      <c r="C373" t="s">
        <v>43</v>
      </c>
      <c r="D373" t="s">
        <v>22</v>
      </c>
      <c r="E373">
        <v>1</v>
      </c>
      <c r="F373" s="5">
        <v>4.95</v>
      </c>
      <c r="G373">
        <v>4.95</v>
      </c>
    </row>
    <row r="374" spans="1:7" x14ac:dyDescent="0.4">
      <c r="A374">
        <v>1062</v>
      </c>
      <c r="B374" s="4">
        <v>45449.914421296293</v>
      </c>
      <c r="C374" t="s">
        <v>43</v>
      </c>
      <c r="D374" t="s">
        <v>16</v>
      </c>
      <c r="E374">
        <v>1</v>
      </c>
      <c r="F374" s="5">
        <v>1.99</v>
      </c>
      <c r="G374">
        <v>1.99</v>
      </c>
    </row>
    <row r="375" spans="1:7" x14ac:dyDescent="0.4">
      <c r="A375">
        <v>1062</v>
      </c>
      <c r="B375" s="4">
        <v>45449.914421296293</v>
      </c>
      <c r="C375" t="s">
        <v>43</v>
      </c>
      <c r="D375" t="s">
        <v>6</v>
      </c>
      <c r="E375">
        <v>1</v>
      </c>
      <c r="F375" s="5">
        <v>2.99</v>
      </c>
      <c r="G375">
        <v>2.99</v>
      </c>
    </row>
    <row r="376" spans="1:7" x14ac:dyDescent="0.4">
      <c r="A376">
        <v>1062</v>
      </c>
      <c r="B376" s="4">
        <v>45449.914421296293</v>
      </c>
      <c r="C376" t="s">
        <v>43</v>
      </c>
      <c r="D376" t="s">
        <v>6</v>
      </c>
      <c r="E376">
        <v>1</v>
      </c>
      <c r="F376" s="5">
        <v>2.99</v>
      </c>
      <c r="G376">
        <v>2.99</v>
      </c>
    </row>
    <row r="377" spans="1:7" x14ac:dyDescent="0.4">
      <c r="A377">
        <v>1062</v>
      </c>
      <c r="B377" s="4">
        <v>45449.914421296293</v>
      </c>
      <c r="C377" t="s">
        <v>43</v>
      </c>
      <c r="D377" t="s">
        <v>6</v>
      </c>
      <c r="E377">
        <v>1</v>
      </c>
      <c r="F377" s="5">
        <v>2.99</v>
      </c>
      <c r="G377">
        <v>2.99</v>
      </c>
    </row>
    <row r="378" spans="1:7" x14ac:dyDescent="0.4">
      <c r="A378">
        <v>1063</v>
      </c>
      <c r="B378" s="4">
        <v>45449.918437499997</v>
      </c>
      <c r="C378" t="s">
        <v>43</v>
      </c>
      <c r="D378" t="s">
        <v>6</v>
      </c>
      <c r="E378">
        <v>1</v>
      </c>
      <c r="F378" s="5">
        <v>2.99</v>
      </c>
      <c r="G378">
        <v>2.99</v>
      </c>
    </row>
    <row r="379" spans="1:7" x14ac:dyDescent="0.4">
      <c r="A379">
        <v>1063</v>
      </c>
      <c r="B379" s="4">
        <v>45449.918437499997</v>
      </c>
      <c r="C379" t="s">
        <v>43</v>
      </c>
      <c r="D379" t="s">
        <v>6</v>
      </c>
      <c r="E379">
        <v>1</v>
      </c>
      <c r="F379" s="5">
        <v>2.99</v>
      </c>
      <c r="G379">
        <v>2.99</v>
      </c>
    </row>
    <row r="380" spans="1:7" x14ac:dyDescent="0.4">
      <c r="A380">
        <v>1064</v>
      </c>
      <c r="B380" s="4">
        <v>45449.918564814812</v>
      </c>
      <c r="C380" t="s">
        <v>43</v>
      </c>
      <c r="D380" t="s">
        <v>6</v>
      </c>
      <c r="E380">
        <v>1</v>
      </c>
      <c r="F380" s="5">
        <v>2.99</v>
      </c>
      <c r="G380">
        <v>2.99</v>
      </c>
    </row>
    <row r="381" spans="1:7" x14ac:dyDescent="0.4">
      <c r="A381">
        <v>1064</v>
      </c>
      <c r="B381" s="4">
        <v>45449.918564814812</v>
      </c>
      <c r="C381" t="s">
        <v>43</v>
      </c>
      <c r="D381" t="s">
        <v>6</v>
      </c>
      <c r="E381">
        <v>1</v>
      </c>
      <c r="F381" s="5">
        <v>2.99</v>
      </c>
      <c r="G381">
        <v>2.99</v>
      </c>
    </row>
    <row r="382" spans="1:7" x14ac:dyDescent="0.4">
      <c r="A382">
        <v>1065</v>
      </c>
      <c r="B382" s="4">
        <v>45449.919537037036</v>
      </c>
      <c r="C382" t="s">
        <v>43</v>
      </c>
      <c r="D382" t="s">
        <v>6</v>
      </c>
      <c r="E382">
        <v>1</v>
      </c>
      <c r="F382" s="5">
        <v>2.99</v>
      </c>
      <c r="G382">
        <v>2.99</v>
      </c>
    </row>
    <row r="383" spans="1:7" x14ac:dyDescent="0.4">
      <c r="A383">
        <v>1065</v>
      </c>
      <c r="B383" s="4">
        <v>45449.919537037036</v>
      </c>
      <c r="C383" t="s">
        <v>43</v>
      </c>
      <c r="D383" t="s">
        <v>6</v>
      </c>
      <c r="E383">
        <v>1</v>
      </c>
      <c r="F383" s="5">
        <v>2.99</v>
      </c>
      <c r="G383">
        <v>2.99</v>
      </c>
    </row>
    <row r="384" spans="1:7" x14ac:dyDescent="0.4">
      <c r="A384">
        <v>1066</v>
      </c>
      <c r="B384" s="4">
        <v>45449.929270833331</v>
      </c>
      <c r="C384" t="s">
        <v>43</v>
      </c>
      <c r="D384" t="s">
        <v>16</v>
      </c>
      <c r="E384">
        <v>1</v>
      </c>
      <c r="F384" s="5">
        <v>1.99</v>
      </c>
      <c r="G384">
        <v>1.99</v>
      </c>
    </row>
    <row r="385" spans="1:7" x14ac:dyDescent="0.4">
      <c r="A385">
        <v>1066</v>
      </c>
      <c r="B385" s="4">
        <v>45449.929270833331</v>
      </c>
      <c r="C385" t="s">
        <v>43</v>
      </c>
      <c r="D385" t="s">
        <v>18</v>
      </c>
      <c r="E385">
        <v>1</v>
      </c>
      <c r="F385" s="5">
        <v>3.99</v>
      </c>
      <c r="G385">
        <v>3.99</v>
      </c>
    </row>
    <row r="386" spans="1:7" x14ac:dyDescent="0.4">
      <c r="A386">
        <v>1067</v>
      </c>
      <c r="B386" s="4">
        <v>45449.932025462964</v>
      </c>
      <c r="C386" t="s">
        <v>43</v>
      </c>
      <c r="D386" t="s">
        <v>6</v>
      </c>
      <c r="E386">
        <v>1</v>
      </c>
      <c r="F386" s="5">
        <v>2.99</v>
      </c>
      <c r="G386">
        <v>2.99</v>
      </c>
    </row>
    <row r="387" spans="1:7" x14ac:dyDescent="0.4">
      <c r="A387">
        <v>1067</v>
      </c>
      <c r="B387" s="4">
        <v>45449.932025462964</v>
      </c>
      <c r="C387" t="s">
        <v>43</v>
      </c>
      <c r="D387" t="s">
        <v>8</v>
      </c>
      <c r="E387">
        <v>1</v>
      </c>
      <c r="F387" s="5">
        <v>0.99</v>
      </c>
      <c r="G387">
        <v>0.99</v>
      </c>
    </row>
    <row r="388" spans="1:7" x14ac:dyDescent="0.4">
      <c r="A388">
        <v>1067</v>
      </c>
      <c r="B388" s="4">
        <v>45449.932025462964</v>
      </c>
      <c r="C388" t="s">
        <v>43</v>
      </c>
      <c r="D388" t="s">
        <v>10</v>
      </c>
      <c r="E388">
        <v>1</v>
      </c>
      <c r="F388" s="5">
        <v>5.99</v>
      </c>
      <c r="G388">
        <v>5.99</v>
      </c>
    </row>
    <row r="389" spans="1:7" x14ac:dyDescent="0.4">
      <c r="A389">
        <v>1067</v>
      </c>
      <c r="B389" s="4">
        <v>45449.932025462964</v>
      </c>
      <c r="C389" t="s">
        <v>43</v>
      </c>
      <c r="D389" t="s">
        <v>12</v>
      </c>
      <c r="E389">
        <v>1</v>
      </c>
      <c r="F389" s="5">
        <v>1.95</v>
      </c>
      <c r="G389">
        <v>1.95</v>
      </c>
    </row>
    <row r="390" spans="1:7" x14ac:dyDescent="0.4">
      <c r="A390">
        <v>1067</v>
      </c>
      <c r="B390" s="4">
        <v>45449.932025462964</v>
      </c>
      <c r="C390" t="s">
        <v>43</v>
      </c>
      <c r="D390" t="s">
        <v>14</v>
      </c>
      <c r="E390">
        <v>1</v>
      </c>
      <c r="F390" s="5">
        <v>3.49</v>
      </c>
      <c r="G390">
        <v>3.49</v>
      </c>
    </row>
    <row r="391" spans="1:7" x14ac:dyDescent="0.4">
      <c r="A391">
        <v>1067</v>
      </c>
      <c r="B391" s="4">
        <v>45449.932025462964</v>
      </c>
      <c r="C391" t="s">
        <v>43</v>
      </c>
      <c r="D391" t="s">
        <v>16</v>
      </c>
      <c r="E391">
        <v>1</v>
      </c>
      <c r="F391" s="5">
        <v>1.99</v>
      </c>
      <c r="G391">
        <v>1.99</v>
      </c>
    </row>
    <row r="392" spans="1:7" x14ac:dyDescent="0.4">
      <c r="A392">
        <v>1067</v>
      </c>
      <c r="B392" s="4">
        <v>45449.932025462964</v>
      </c>
      <c r="C392" t="s">
        <v>43</v>
      </c>
      <c r="D392" t="s">
        <v>18</v>
      </c>
      <c r="E392">
        <v>1</v>
      </c>
      <c r="F392" s="5">
        <v>3.99</v>
      </c>
      <c r="G392">
        <v>3.99</v>
      </c>
    </row>
    <row r="393" spans="1:7" x14ac:dyDescent="0.4">
      <c r="A393">
        <v>1067</v>
      </c>
      <c r="B393" s="4">
        <v>45449.932025462964</v>
      </c>
      <c r="C393" t="s">
        <v>43</v>
      </c>
      <c r="D393" t="s">
        <v>20</v>
      </c>
      <c r="E393">
        <v>1</v>
      </c>
      <c r="F393" s="5">
        <v>4.95</v>
      </c>
      <c r="G393">
        <v>4.95</v>
      </c>
    </row>
    <row r="394" spans="1:7" x14ac:dyDescent="0.4">
      <c r="A394">
        <v>1067</v>
      </c>
      <c r="B394" s="4">
        <v>45449.932025462964</v>
      </c>
      <c r="C394" t="s">
        <v>43</v>
      </c>
      <c r="D394" t="s">
        <v>22</v>
      </c>
      <c r="E394">
        <v>1</v>
      </c>
      <c r="F394" s="5">
        <v>4.95</v>
      </c>
      <c r="G394">
        <v>4.95</v>
      </c>
    </row>
    <row r="395" spans="1:7" x14ac:dyDescent="0.4">
      <c r="A395">
        <v>1068</v>
      </c>
      <c r="B395" s="4">
        <v>45449.932280092595</v>
      </c>
      <c r="C395" t="s">
        <v>43</v>
      </c>
      <c r="D395" t="s">
        <v>6</v>
      </c>
      <c r="E395">
        <v>1</v>
      </c>
      <c r="F395" s="5">
        <v>2.99</v>
      </c>
      <c r="G395">
        <v>2.99</v>
      </c>
    </row>
    <row r="396" spans="1:7" x14ac:dyDescent="0.4">
      <c r="A396">
        <v>1069</v>
      </c>
      <c r="B396" s="4">
        <v>45449.932881944442</v>
      </c>
      <c r="C396" t="s">
        <v>43</v>
      </c>
      <c r="D396" t="s">
        <v>6</v>
      </c>
      <c r="E396">
        <v>1</v>
      </c>
      <c r="F396" s="5">
        <v>2.99</v>
      </c>
      <c r="G396">
        <v>2.99</v>
      </c>
    </row>
    <row r="397" spans="1:7" x14ac:dyDescent="0.4">
      <c r="A397">
        <v>1069</v>
      </c>
      <c r="B397" s="4">
        <v>45449.932881944442</v>
      </c>
      <c r="C397" t="s">
        <v>43</v>
      </c>
      <c r="D397" t="s">
        <v>14</v>
      </c>
      <c r="E397">
        <v>1</v>
      </c>
      <c r="F397" s="5">
        <v>3.49</v>
      </c>
      <c r="G397">
        <v>3.49</v>
      </c>
    </row>
    <row r="398" spans="1:7" x14ac:dyDescent="0.4">
      <c r="A398">
        <v>1069</v>
      </c>
      <c r="B398" s="4">
        <v>45449.932881944442</v>
      </c>
      <c r="C398" t="s">
        <v>43</v>
      </c>
      <c r="D398" t="s">
        <v>14</v>
      </c>
      <c r="E398">
        <v>1</v>
      </c>
      <c r="F398" s="5">
        <v>3.49</v>
      </c>
      <c r="G398">
        <v>3.49</v>
      </c>
    </row>
    <row r="399" spans="1:7" x14ac:dyDescent="0.4">
      <c r="A399">
        <v>1069</v>
      </c>
      <c r="B399" s="4">
        <v>45449.932881944442</v>
      </c>
      <c r="C399" t="s">
        <v>43</v>
      </c>
      <c r="D399" t="s">
        <v>18</v>
      </c>
      <c r="E399">
        <v>1</v>
      </c>
      <c r="F399" s="5">
        <v>3.99</v>
      </c>
      <c r="G399">
        <v>3.99</v>
      </c>
    </row>
    <row r="400" spans="1:7" x14ac:dyDescent="0.4">
      <c r="A400">
        <v>1069</v>
      </c>
      <c r="B400" s="4">
        <v>45449.932881944442</v>
      </c>
      <c r="C400" t="s">
        <v>43</v>
      </c>
      <c r="D400" t="s">
        <v>8</v>
      </c>
      <c r="E400">
        <v>1</v>
      </c>
      <c r="F400" s="5">
        <v>0.99</v>
      </c>
      <c r="G400">
        <v>0.99</v>
      </c>
    </row>
    <row r="401" spans="1:7" x14ac:dyDescent="0.4">
      <c r="A401">
        <v>1070</v>
      </c>
      <c r="B401" s="4">
        <v>45449.935127314813</v>
      </c>
      <c r="C401" t="s">
        <v>43</v>
      </c>
      <c r="D401" t="s">
        <v>6</v>
      </c>
      <c r="E401">
        <v>1</v>
      </c>
      <c r="F401" s="5">
        <v>2.99</v>
      </c>
      <c r="G401">
        <v>2.99</v>
      </c>
    </row>
    <row r="402" spans="1:7" x14ac:dyDescent="0.4">
      <c r="A402">
        <v>1070</v>
      </c>
      <c r="B402" s="4">
        <v>45449.935127314813</v>
      </c>
      <c r="C402" t="s">
        <v>43</v>
      </c>
      <c r="D402" t="s">
        <v>6</v>
      </c>
      <c r="E402">
        <v>1</v>
      </c>
      <c r="F402" s="5">
        <v>2.99</v>
      </c>
      <c r="G402">
        <v>2.99</v>
      </c>
    </row>
    <row r="403" spans="1:7" x14ac:dyDescent="0.4">
      <c r="A403">
        <v>1070</v>
      </c>
      <c r="B403" s="4">
        <v>45449.935127314813</v>
      </c>
      <c r="C403" t="s">
        <v>43</v>
      </c>
      <c r="D403" t="s">
        <v>6</v>
      </c>
      <c r="E403">
        <v>1</v>
      </c>
      <c r="F403" s="5">
        <v>2.99</v>
      </c>
      <c r="G403">
        <v>2.99</v>
      </c>
    </row>
    <row r="404" spans="1:7" x14ac:dyDescent="0.4">
      <c r="A404">
        <v>1070</v>
      </c>
      <c r="B404" s="4">
        <v>45449.935127314813</v>
      </c>
      <c r="C404" t="s">
        <v>43</v>
      </c>
      <c r="D404" t="s">
        <v>6</v>
      </c>
      <c r="E404">
        <v>1</v>
      </c>
      <c r="F404" s="5">
        <v>2.99</v>
      </c>
      <c r="G404">
        <v>2.99</v>
      </c>
    </row>
    <row r="405" spans="1:7" x14ac:dyDescent="0.4">
      <c r="A405">
        <v>1070</v>
      </c>
      <c r="B405" s="4">
        <v>45449.935127314813</v>
      </c>
      <c r="C405" t="s">
        <v>43</v>
      </c>
      <c r="D405" t="s">
        <v>6</v>
      </c>
      <c r="E405">
        <v>1</v>
      </c>
      <c r="F405" s="5">
        <v>2.99</v>
      </c>
      <c r="G405">
        <v>2.99</v>
      </c>
    </row>
    <row r="406" spans="1:7" x14ac:dyDescent="0.4">
      <c r="A406">
        <v>1070</v>
      </c>
      <c r="B406" s="4">
        <v>45449.935127314813</v>
      </c>
      <c r="C406" t="s">
        <v>43</v>
      </c>
      <c r="D406" t="s">
        <v>6</v>
      </c>
      <c r="E406">
        <v>1</v>
      </c>
      <c r="F406" s="5">
        <v>2.99</v>
      </c>
      <c r="G406">
        <v>2.99</v>
      </c>
    </row>
    <row r="407" spans="1:7" x14ac:dyDescent="0.4">
      <c r="A407">
        <v>1070</v>
      </c>
      <c r="B407" s="4">
        <v>45449.935127314813</v>
      </c>
      <c r="C407" t="s">
        <v>43</v>
      </c>
      <c r="D407" t="s">
        <v>6</v>
      </c>
      <c r="E407">
        <v>1</v>
      </c>
      <c r="F407" s="5">
        <v>2.99</v>
      </c>
      <c r="G407">
        <v>2.99</v>
      </c>
    </row>
    <row r="408" spans="1:7" x14ac:dyDescent="0.4">
      <c r="A408">
        <v>1070</v>
      </c>
      <c r="B408" s="4">
        <v>45449.93513888889</v>
      </c>
      <c r="C408" t="s">
        <v>43</v>
      </c>
      <c r="D408" t="s">
        <v>6</v>
      </c>
      <c r="E408">
        <v>1</v>
      </c>
      <c r="F408" s="5">
        <v>2.99</v>
      </c>
      <c r="G408">
        <v>2.99</v>
      </c>
    </row>
    <row r="409" spans="1:7" x14ac:dyDescent="0.4">
      <c r="A409">
        <v>1070</v>
      </c>
      <c r="B409" s="4">
        <v>45449.93513888889</v>
      </c>
      <c r="C409" t="s">
        <v>43</v>
      </c>
      <c r="D409" t="s">
        <v>6</v>
      </c>
      <c r="E409">
        <v>1</v>
      </c>
      <c r="F409" s="5">
        <v>2.99</v>
      </c>
      <c r="G409">
        <v>2.99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2024-06-07T05:28:02Z</cp:lastPrinted>
  <dcterms:created xsi:type="dcterms:W3CDTF">2020-02-21T23:03:52Z</dcterms:created>
  <dcterms:modified xsi:type="dcterms:W3CDTF">2024-06-07T06:41:04Z</dcterms:modified>
</cp:coreProperties>
</file>