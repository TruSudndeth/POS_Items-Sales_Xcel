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7C2E220B-898A-4062-9F57-FF8D574C8326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POS!$K$1:$N$49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8" i="1" l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I4" i="1"/>
  <c r="B5" i="1"/>
  <c r="D4" i="1" l="1"/>
  <c r="M6" i="1"/>
  <c r="B7" i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<sst xmlns="http://schemas.openxmlformats.org/spreadsheetml/2006/main" count="240" uniqueCount="75">
  <si>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</si>
  <si>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</si>
  <si>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</si>
  <si>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</si>
  <si>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</si>
  <si>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</si>
  <si>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</si>
  <si>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</si>
  <si>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</si>
  <si>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</si>
  <si>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</si>
  <si>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</si>
  <si>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</si>
  <si>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</si>
  <si>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</si>
  <si>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</si>
  <si>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</si>
  <si>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</si>
  <si>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</si>
  <si>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</si>
  <si>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</si>
  <si>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</si>
  <si>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</si>
  <si>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</si>
  <si>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</si>
  <si>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</si>
  <si>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</si>
  <si>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</si>
  <si>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</si>
  <si>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</si>
  <si>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</si>
  <si>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</si>
  <si>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</si>
  <si>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</si>
  <si>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</si>
  <si>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</si>
  <si>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</si>
  <si>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</si>
  <si>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</si>
  <si>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</si>
  <si>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</si>
  <si>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</si>
  <si>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</si>
  <si>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</si>
  <si>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</si>
  <si>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</si>
  <si>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</si>
  <si>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</si>
  <si>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</si>
  <si>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</si>
  <si>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</si>
  <si>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</si>
  <si>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</si>
  <si>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</si>
  <si>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</si>
  <si>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</si>
  <si>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</si>
  <si>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</si>
  <si>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</si>
  <si>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</si>
  <si>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</si>
  <si>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</si>
  <si>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</si>
  <si>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</si>
  <si>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</si>
  <si>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</si>
  <si>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</si>
  <si>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</si>
  <si>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</si>
  <si>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</si>
  <si>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</si>
  <si>
    <t>Item:</t>
  </si>
  <si>
    <t>@ 1.21%</t>
  </si>
  <si>
    <t>Removed:</t>
  </si>
  <si>
    <t>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</si>
</sst>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6" borderId="2" xfId="0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44" fontId="0" fillId="0" borderId="0" xfId="1" applyFont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0" borderId="0" xfId="0" applyFont="1" applyFill="1" applyProtection="1">
      <protection locked="0"/>
    </xf>
    <xf numFmtId="7" fontId="0" fillId="0" borderId="0" xfId="0" applyNumberFormat="1" applyFont="1" applyFill="1" applyProtection="1">
      <protection locked="0"/>
    </xf>
    <xf numFmtId="44" fontId="0" fillId="6" borderId="3" xfId="1" applyNumberFormat="1" applyFon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7" borderId="0" xfId="0" applyFont="1" applyFill="1" applyProtection="1">
      <protection locked="0"/>
    </xf>
    <xf numFmtId="0" fontId="0" fillId="7" borderId="0" xfId="0" applyFont="1" applyFill="1" applyAlignment="1" applyProtection="1">
      <alignment horizontal="right"/>
      <protection locked="0"/>
    </xf>
    <xf numFmtId="0" fontId="0" fillId="0" borderId="0" xfId="0" applyFont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4" xfId="0" applyFill="1" applyBorder="1" applyAlignment="1" applyProtection="1">
      <alignment horizontal="left"/>
      <protection locked="0"/>
    </xf>
    <xf numFmtId="7" fontId="0" fillId="0" borderId="0" xfId="0" applyNumberFormat="1" applyProtection="1"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49" fontId="0" fillId="6" borderId="1" xfId="0" applyNumberFormat="1" applyFill="1" applyBorder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2" fontId="0" fillId="6" borderId="1" xfId="0" applyNumberFormat="1" applyFill="1" applyBorder="1" applyProtection="1">
      <protection locked="0"/>
    </xf>
    <xf numFmtId="164" fontId="0" fillId="0" borderId="0" xfId="0" applyNumberFormat="1" applyFont="1" applyFill="1" applyProtection="1">
      <protection locked="0"/>
    </xf>
    <xf numFmtId="164" fontId="0" fillId="0" borderId="0" xfId="0" applyNumberFormat="1" applyFont="1" applyProtection="1"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center"/>
      <protection locked="0"/>
    </xf>
    <xf numFmtId="22" fontId="0" fillId="7" borderId="0" xfId="0" applyNumberFormat="1" applyFont="1" applyFill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7" fontId="0" fillId="0" borderId="0" xfId="1" applyNumberFormat="1" applyFont="1" applyFill="1" applyAlignment="1" applyProtection="1">
      <alignment horizontal="right"/>
      <protection locked="0"/>
    </xf>
    <xf numFmtId="0" fontId="0" fillId="10" borderId="0" xfId="0" applyFont="1" applyFill="1" applyProtection="1">
      <protection locked="0"/>
    </xf>
    <xf numFmtId="7" fontId="0" fillId="10" borderId="0" xfId="0" applyNumberFormat="1" applyFont="1" applyFill="1" applyProtection="1">
      <protection locked="0"/>
    </xf>
    <xf numFmtId="164" fontId="0" fillId="10" borderId="0" xfId="0" applyNumberFormat="1" applyFont="1" applyFill="1" applyProtection="1">
      <protection locked="0"/>
    </xf>
    <xf numFmtId="0" fontId="4" fillId="10" borderId="0" xfId="0" applyFont="1" applyFill="1" applyProtection="1">
      <protection locked="0"/>
    </xf>
    <xf numFmtId="7" fontId="4" fillId="10" borderId="0" xfId="0" applyNumberFormat="1" applyFont="1" applyFill="1" applyProtection="1">
      <protection locked="0"/>
    </xf>
    <xf numFmtId="164" fontId="4" fillId="10" borderId="0" xfId="0" applyNumberFormat="1" applyFont="1" applyFill="1" applyProtection="1">
      <protection locked="0"/>
    </xf>
    <xf numFmtId="2" fontId="0" fillId="11" borderId="11" xfId="1" applyNumberFormat="1" applyFont="1" applyFill="1" applyBorder="1" applyProtection="1">
      <protection locked="0"/>
    </xf>
    <xf numFmtId="0" fontId="4" fillId="8" borderId="0" xfId="0" applyFont="1" applyFill="1"/>
    <xf numFmtId="22" fontId="4" fillId="8" borderId="0" xfId="0" applyNumberFormat="1" applyFont="1" applyFill="1"/>
    <xf numFmtId="7" fontId="4" fillId="8" borderId="0" xfId="0" applyNumberFormat="1" applyFont="1" applyFill="1"/>
    <xf numFmtId="0" fontId="0" fillId="8" borderId="0" xfId="0" applyFont="1" applyFill="1"/>
    <xf numFmtId="7" fontId="0" fillId="8" borderId="0" xfId="0" applyNumberFormat="1" applyFont="1" applyFill="1"/>
    <xf numFmtId="0" fontId="0" fillId="8" borderId="0" xfId="0" applyFill="1"/>
    <xf numFmtId="22" fontId="0" fillId="8" borderId="0" xfId="0" applyNumberFormat="1" applyFill="1"/>
    <xf numFmtId="7" fontId="0" fillId="8" borderId="0" xfId="0" applyNumberFormat="1" applyFill="1"/>
    <xf numFmtId="0" fontId="0" fillId="0" borderId="0" xfId="0" applyFont="1" applyFill="1"/>
    <xf numFmtId="22" fontId="0" fillId="0" borderId="0" xfId="0" applyNumberFormat="1" applyFont="1" applyFill="1"/>
    <xf numFmtId="7" fontId="0" fillId="0" borderId="0" xfId="0" applyNumberFormat="1" applyFont="1" applyFill="1"/>
    <xf numFmtId="0" fontId="4" fillId="0" borderId="0" xfId="0" applyFont="1" applyFill="1"/>
    <xf numFmtId="7" fontId="4" fillId="0" borderId="0" xfId="0" applyNumberFormat="1" applyFont="1" applyFill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Banana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44</xdr:row>
      <xdr:rowOff>0</xdr:rowOff>
    </xdr:from>
    <xdr:to>
      <xdr:col>13</xdr:col>
      <xdr:colOff>947252</xdr:colOff>
      <xdr:row>48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8525274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1027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3</xdr:col>
      <xdr:colOff>258</xdr:colOff>
      <xdr:row>10</xdr:row>
      <xdr:rowOff>142875</xdr:rowOff>
    </xdr:from>
    <xdr:to>
      <xdr:col>8</xdr:col>
      <xdr:colOff>941777</xdr:colOff>
      <xdr:row>23</xdr:row>
      <xdr:rowOff>69767</xdr:rowOff>
    </xdr:to>
    <xdr:grpSp>
      <xdr:nvGrpSpPr>
        <xdr:cNvPr id="202" name="Group 201">
          <a:extLst>
            <a:ext uri="{FF2B5EF4-FFF2-40B4-BE49-F238E27FC236}">
              <a16:creationId xmlns:a16="http://schemas.microsoft.com/office/drawing/2014/main" id="{1FEB641C-C6D7-4139-87B8-8D6515EBE1D9}"/>
            </a:ext>
          </a:extLst>
        </xdr:cNvPr>
        <xdr:cNvGrpSpPr/>
      </xdr:nvGrpSpPr>
      <xdr:grpSpPr>
        <a:xfrm>
          <a:off x="2661326" y="2338530"/>
          <a:ext cx="4341773" cy="2347041"/>
          <a:chOff x="1927616" y="2338530"/>
          <a:chExt cx="4341773" cy="2347041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1927616" y="2338530"/>
            <a:ext cx="2140638" cy="2330614"/>
            <a:chOff x="1571625" y="2390775"/>
            <a:chExt cx="1992630" cy="2386965"/>
          </a:xfrm>
        </xdr:grpSpPr>
        <xdr:sp macro="[0]!EnterNumberBtn" textlink="">
          <xdr:nvSpPr>
            <xdr:cNvPr id="9" name="Butn1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1571625" y="239077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1</a:t>
              </a:r>
            </a:p>
          </xdr:txBody>
        </xdr:sp>
        <xdr:sp macro="[0]!EnterNumberBtn" textlink="">
          <xdr:nvSpPr>
            <xdr:cNvPr id="10" name="Butn2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2247900" y="239077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2</a:t>
              </a:r>
            </a:p>
          </xdr:txBody>
        </xdr:sp>
        <xdr:sp macro="[0]!EnterNumberBtn" textlink="">
          <xdr:nvSpPr>
            <xdr:cNvPr id="11" name="Butn3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2924175" y="239077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3</a:t>
              </a:r>
            </a:p>
          </xdr:txBody>
        </xdr:sp>
        <xdr:sp macro="[0]!EnterNumberBtn" textlink="">
          <xdr:nvSpPr>
            <xdr:cNvPr id="12" name="Butn4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1571625" y="300355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4</a:t>
              </a:r>
            </a:p>
          </xdr:txBody>
        </xdr:sp>
        <xdr:sp macro="[0]!EnterNumberBtn" textlink="">
          <xdr:nvSpPr>
            <xdr:cNvPr id="13" name="Butn5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2247900" y="300355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5</a:t>
              </a:r>
            </a:p>
          </xdr:txBody>
        </xdr:sp>
        <xdr:sp macro="[0]!EnterNumberBtn" textlink="">
          <xdr:nvSpPr>
            <xdr:cNvPr id="14" name="Butn6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2924175" y="300355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6</a:t>
              </a:r>
            </a:p>
          </xdr:txBody>
        </xdr:sp>
        <xdr:sp macro="[0]!EnterNumberBtn" textlink="">
          <xdr:nvSpPr>
            <xdr:cNvPr id="15" name="Butn7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571625" y="361632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7</a:t>
              </a:r>
            </a:p>
          </xdr:txBody>
        </xdr:sp>
        <xdr:sp macro="[0]!EnterNumberBtn" textlink="">
          <xdr:nvSpPr>
            <xdr:cNvPr id="16" name="Butn8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2247900" y="361632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8</a:t>
              </a:r>
            </a:p>
          </xdr:txBody>
        </xdr:sp>
        <xdr:sp macro="[0]!EnterNumberBtn" textlink="">
          <xdr:nvSpPr>
            <xdr:cNvPr id="17" name="Butn9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2924175" y="3616325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9</a:t>
              </a:r>
            </a:p>
          </xdr:txBody>
        </xdr:sp>
        <xdr:sp macro="[0]!EnterNumberBtn" textlink="">
          <xdr:nvSpPr>
            <xdr:cNvPr id="18" name="Butn0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1571625" y="422910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0</a:t>
              </a:r>
            </a:p>
          </xdr:txBody>
        </xdr:sp>
        <xdr:sp macro="[0]!ClearItemBtn" textlink="">
          <xdr:nvSpPr>
            <xdr:cNvPr id="19" name="ClearBtn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2247900" y="422910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i="0" u="sng"/>
                <a:t>CLEAR</a:t>
              </a:r>
            </a:p>
          </xdr:txBody>
        </xdr:sp>
        <xdr:sp macro="[0]!EnterDecimalBtn" textlink="">
          <xdr:nvSpPr>
            <xdr:cNvPr id="20" name="DecimBtn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2924175" y="4229100"/>
              <a:ext cx="64008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/>
                <a:t>.</a:t>
              </a:r>
            </a:p>
          </xdr:txBody>
        </xdr:sp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GrpSpPr/>
        </xdr:nvGrpSpPr>
        <xdr:grpSpPr>
          <a:xfrm>
            <a:off x="4423079" y="2338530"/>
            <a:ext cx="504656" cy="535636"/>
            <a:chOff x="3895725" y="2390775"/>
            <a:chExt cx="457200" cy="548640"/>
          </a:xfrm>
        </xdr:grpSpPr>
        <xdr:sp macro="[0]!EnterPayType" textlink="">
          <xdr:nvSpPr>
            <xdr:cNvPr id="21" name="Cash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3895725" y="2390775"/>
              <a:ext cx="45720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2" name="Cash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00500" y="256815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4970596" y="2338530"/>
            <a:ext cx="504654" cy="535636"/>
            <a:chOff x="4395787" y="2390775"/>
            <a:chExt cx="457200" cy="548640"/>
          </a:xfrm>
        </xdr:grpSpPr>
        <xdr:sp macro="[0]!EnterPayType" textlink="">
          <xdr:nvSpPr>
            <xdr:cNvPr id="22" name="Card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4395787" y="2390775"/>
              <a:ext cx="45720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3" name="Card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34136" y="2568150"/>
              <a:ext cx="364273" cy="274320"/>
            </a:xfrm>
            <a:prstGeom prst="rect">
              <a:avLst/>
            </a:prstGeom>
          </xdr:spPr>
        </xdr:pic>
      </xdr:grpSp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5518112" y="2338530"/>
            <a:ext cx="504653" cy="535636"/>
            <a:chOff x="4905375" y="2390775"/>
            <a:chExt cx="457200" cy="548640"/>
          </a:xfrm>
        </xdr:grpSpPr>
        <xdr:sp macro="[0]!EnterPayType" textlink="">
          <xdr:nvSpPr>
            <xdr:cNvPr id="23" name="Check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4905375" y="2390775"/>
              <a:ext cx="45720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4" name="Check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86300" y="256815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32" name="PaymentBtn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4423079" y="2934841"/>
            <a:ext cx="1609213" cy="535636"/>
            <a:chOff x="3933825" y="3060700"/>
            <a:chExt cx="1466850" cy="548640"/>
          </a:xfrm>
        </xdr:grpSpPr>
        <xdr:sp macro="[0]!EnterPayemntCell" textlink="">
          <xdr:nvSpPr>
            <xdr:cNvPr id="24" name="Butn6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/>
          </xdr:nvSpPr>
          <xdr:spPr>
            <a:xfrm>
              <a:off x="3933825" y="3060700"/>
              <a:ext cx="146685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800"/>
                <a:t>PAYMENT</a:t>
              </a:r>
              <a:endParaRPr lang="en-US" sz="1600"/>
            </a:p>
          </xdr:txBody>
        </xdr:sp>
        <xdr:pic macro="[0]!EnterPayemntCell"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81375" y="319786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31" name="NextBtn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4423079" y="4149935"/>
            <a:ext cx="1609213" cy="535636"/>
            <a:chOff x="3933825" y="4229100"/>
            <a:chExt cx="1466850" cy="548640"/>
          </a:xfrm>
        </xdr:grpSpPr>
        <xdr:sp macro="[0]!SaveAndClear" textlink="">
          <xdr:nvSpPr>
            <xdr:cNvPr id="26" name="Butn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3933825" y="4229100"/>
              <a:ext cx="1466850" cy="548640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800"/>
                <a:t>    NEXT</a:t>
              </a:r>
            </a:p>
          </xdr:txBody>
        </xdr:sp>
        <xdr:pic macro="[0]!SaveAndClear"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69500" y="4364775"/>
              <a:ext cx="274320" cy="274320"/>
            </a:xfrm>
            <a:prstGeom prst="rect">
              <a:avLst/>
            </a:prstGeom>
          </xdr:spPr>
        </xdr:pic>
      </xdr:grpSp>
      <xdr:sp macro="[0]!UpdateReceipt" textlink="">
        <xdr:nvSpPr>
          <xdr:cNvPr id="25" name="Butn6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423079" y="3554524"/>
            <a:ext cx="1144369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Prev</a:t>
            </a:r>
          </a:p>
        </xdr:txBody>
      </xdr:sp>
      <xdr:grpSp>
        <xdr:nvGrpSpPr>
          <xdr:cNvPr id="222" name="Group 221">
            <a:extLst>
              <a:ext uri="{FF2B5EF4-FFF2-40B4-BE49-F238E27FC236}">
                <a16:creationId xmlns:a16="http://schemas.microsoft.com/office/drawing/2014/main" id="{C336DF70-437A-40A6-AA5E-CED6B6C0C974}"/>
              </a:ext>
            </a:extLst>
          </xdr:cNvPr>
          <xdr:cNvGrpSpPr/>
        </xdr:nvGrpSpPr>
        <xdr:grpSpPr>
          <a:xfrm>
            <a:off x="5633324" y="3560658"/>
            <a:ext cx="636065" cy="529502"/>
            <a:chOff x="4450628" y="4808604"/>
            <a:chExt cx="515604" cy="535636"/>
          </a:xfrm>
        </xdr:grpSpPr>
        <xdr:sp macro="[0]!PrintReceipt" textlink="">
          <xdr:nvSpPr>
            <xdr:cNvPr id="220" name="Butn6">
              <a:extLst>
                <a:ext uri="{FF2B5EF4-FFF2-40B4-BE49-F238E27FC236}">
                  <a16:creationId xmlns:a16="http://schemas.microsoft.com/office/drawing/2014/main" id="{3C4FEFCF-23B1-46DA-B708-D57A7DF30151}"/>
                </a:ext>
              </a:extLst>
            </xdr:cNvPr>
            <xdr:cNvSpPr/>
          </xdr:nvSpPr>
          <xdr:spPr>
            <a:xfrm>
              <a:off x="4450628" y="4808604"/>
              <a:ext cx="515604" cy="535636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2800"/>
            </a:p>
          </xdr:txBody>
        </xdr:sp>
        <xdr:pic macro="[0]!PrintReceipt">
          <xdr:nvPicPr>
            <xdr:cNvPr id="221" name="Picture 220">
              <a:extLst>
                <a:ext uri="{FF2B5EF4-FFF2-40B4-BE49-F238E27FC236}">
                  <a16:creationId xmlns:a16="http://schemas.microsoft.com/office/drawing/2014/main" id="{DF75427C-6444-46EB-A680-AD1D21248A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578135" y="4942513"/>
              <a:ext cx="294053" cy="26781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217193</xdr:colOff>
      <xdr:row>25</xdr:row>
      <xdr:rowOff>74831</xdr:rowOff>
    </xdr:from>
    <xdr:to>
      <xdr:col>14</xdr:col>
      <xdr:colOff>3820039</xdr:colOff>
      <xdr:row>28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514" name="ItemPic">
          <a:extLst>
            <a:ext uri="{FF2B5EF4-FFF2-40B4-BE49-F238E27FC236}">
              <a16:creationId xmlns:a16="http://schemas.microsoft.com/office/drawing/2014/main" id="{E642A370-C44E-4279-BE7F-985CCACA4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Normal="100" workbookViewId="0">
      <selection activeCell="I7" sqref="I7"/>
    </sheetView>
  </sheetViews>
  <sheetFormatPr defaultRowHeight="14.7" x14ac:dyDescent="0.4"/>
  <cols>
    <col min="1" max="1" width="11" style="8" bestFit="1" customWidth="1"/>
    <col min="2" max="2" width="19.53515625" style="8" customWidth="1"/>
    <col min="3" max="3" width="6.84375" style="8" customWidth="1"/>
    <col min="4" max="4" width="10.84375" style="8" bestFit="1" customWidth="1"/>
    <col min="5" max="8" width="9.23046875" style="8"/>
    <col min="9" max="9" width="16.61328125" style="8" customWidth="1"/>
    <col min="10" max="10" width="9.23046875" style="8"/>
    <col min="11" max="11" width="10.69140625" style="26" customWidth="1"/>
    <col min="12" max="12" width="8.07421875" style="26" customWidth="1"/>
    <col min="13" max="13" width="9.23046875" style="26"/>
    <col min="14" max="14" width="14.921875" style="36" customWidth="1"/>
    <col min="15" max="15" width="56.3046875" style="8" customWidth="1"/>
    <col min="16" max="16" width="9.23046875" style="8"/>
    <col min="17" max="17" width="17.3828125" style="8" customWidth="1"/>
    <col min="18" max="18" width="9.23046875" style="8"/>
    <col min="19" max="19" width="15.15234375" style="8" customWidth="1"/>
    <col min="20" max="22" width="9.23046875" style="8"/>
    <col min="23" max="23" width="16.07421875" style="8" customWidth="1"/>
    <col min="24" max="16384" width="9.23046875" style="8"/>
  </cols>
  <sheetData>
    <row r="1" spans="1:22" ht="41" x14ac:dyDescent="1.05">
      <c r="A1" s="6"/>
      <c r="B1" s="6"/>
      <c r="C1" s="39" t="s">
        <v>26</v>
      </c>
      <c r="D1" s="39"/>
      <c r="E1" s="39"/>
      <c r="F1" s="39"/>
      <c r="G1" s="39"/>
      <c r="H1" s="39"/>
      <c r="I1" s="39"/>
      <c r="J1" s="39"/>
      <c r="K1" s="45" t="s">
        <v>36</v>
      </c>
      <c r="L1" s="45"/>
      <c r="M1" s="45"/>
      <c r="N1" s="45"/>
      <c r="O1" s="27" t="s">
        <v>70</v>
      </c>
      <c r="P1" s="7"/>
      <c r="Q1" s="7"/>
      <c r="R1" s="7"/>
      <c r="S1" s="7"/>
      <c r="T1" s="7"/>
      <c r="U1" s="7"/>
      <c r="V1" s="7"/>
    </row>
    <row r="2" spans="1:22" ht="14.7" customHeight="1" x14ac:dyDescent="0.4">
      <c r="A2" s="6"/>
      <c r="B2" s="6"/>
      <c r="C2" s="9"/>
      <c r="D2" s="9"/>
      <c r="E2" s="9"/>
      <c r="F2" s="9"/>
      <c r="G2" s="9"/>
      <c r="H2" s="9"/>
      <c r="I2" s="9"/>
      <c r="J2" s="9"/>
      <c r="K2" s="46" t="s">
        <v>37</v>
      </c>
      <c r="L2" s="46"/>
      <c r="M2" s="46"/>
      <c r="N2" s="46"/>
      <c r="O2" s="9"/>
    </row>
    <row r="3" spans="1:22" ht="14.7" customHeight="1" x14ac:dyDescent="0.4">
      <c r="A3" s="6"/>
      <c r="B3" s="6"/>
      <c r="C3" s="10"/>
      <c r="D3" s="28" t="s">
        <v>68</v>
      </c>
      <c r="E3" s="40" t="s">
        <v>8</v>
      </c>
      <c r="F3" s="41"/>
      <c r="G3" s="10"/>
      <c r="H3" s="11" t="s">
        <v>27</v>
      </c>
      <c r="I3" s="22">
        <v>75.64</v>
      </c>
      <c r="J3" s="10"/>
      <c r="K3" s="46" t="s">
        <v>38</v>
      </c>
      <c r="L3" s="46"/>
      <c r="M3" s="46"/>
      <c r="N3" s="46"/>
      <c r="O3" s="10"/>
    </row>
    <row r="4" spans="1:22" ht="14.7" customHeight="1" x14ac:dyDescent="0.4">
      <c r="A4" s="14" t="s">
        <v>48</v>
      </c>
      <c r="B4" s="15" t="b">
        <v>0</v>
      </c>
      <c r="C4" s="10"/>
      <c r="D4" s="42" t="str">
        <f ca="1">IFERROR(INDEX(Item_Desc,MATCH(E3,Item_Name,0),1),"")</f>
        <v>Bananas from Ecuador</v>
      </c>
      <c r="E4" s="40"/>
      <c r="F4" s="41"/>
      <c r="G4" s="10"/>
      <c r="H4" s="11" t="s">
        <v>28</v>
      </c>
      <c r="I4" s="16">
        <f>ROUND(I3 * 0.0121, 2)</f>
        <v>0.92</v>
      </c>
      <c r="J4" s="32" t="s">
        <v>72</v>
      </c>
      <c r="K4" s="46" t="s">
        <v>39</v>
      </c>
      <c r="L4" s="46"/>
      <c r="M4" s="46"/>
      <c r="N4" s="46"/>
      <c r="O4" s="10"/>
    </row>
    <row r="5" spans="1:22" ht="14.7" customHeight="1" x14ac:dyDescent="0.4">
      <c r="A5" s="14" t="s">
        <v>49</v>
      </c>
      <c r="B5" s="15" t="str">
        <f ca="1">IFERROR(MATCH(E10,Item_ID,0)+2,"")</f>
        <v/>
      </c>
      <c r="C5" s="10"/>
      <c r="D5" s="10"/>
      <c r="E5" s="10"/>
      <c r="F5" s="10"/>
      <c r="G5" s="10"/>
      <c r="H5" s="11" t="s">
        <v>30</v>
      </c>
      <c r="I5" s="22">
        <f>SUM(I3:I4)</f>
        <v>76.56</v>
      </c>
      <c r="J5" s="10"/>
      <c r="K5" s="24"/>
      <c r="L5" s="25" t="s">
        <v>40</v>
      </c>
      <c r="M5" s="38">
        <v>1027</v>
      </c>
      <c r="N5" s="38"/>
      <c r="O5" s="10"/>
    </row>
    <row r="6" spans="1:22" ht="14.7" customHeight="1" x14ac:dyDescent="0.4">
      <c r="A6" s="14" t="s">
        <v>50</v>
      </c>
      <c r="B6" s="15">
        <v>38</v>
      </c>
      <c r="C6" s="10"/>
      <c r="D6" s="10"/>
      <c r="E6" s="11" t="s">
        <v>34</v>
      </c>
      <c r="F6" s="5">
        <v>0.99</v>
      </c>
      <c r="G6" s="10"/>
      <c r="H6" s="11" t="s">
        <v>31</v>
      </c>
      <c r="I6" s="18" t="s">
        <v>69</v>
      </c>
      <c r="J6" s="10"/>
      <c r="K6" s="24"/>
      <c r="L6" s="25" t="s">
        <v>41</v>
      </c>
      <c r="M6" s="47">
        <f ca="1">NOW()</f>
        <v>45451.617275694443</v>
      </c>
      <c r="N6" s="38"/>
      <c r="O6" s="10"/>
      <c r="S6" s="29"/>
    </row>
    <row r="7" spans="1:22" ht="14.7" customHeight="1" x14ac:dyDescent="0.4">
      <c r="A7" s="14" t="s">
        <v>51</v>
      </c>
      <c r="B7" s="15">
        <f ca="1">IFERROR(MAX(RecNumb)+1,1000)</f>
        <v>1027</v>
      </c>
      <c r="C7" s="10"/>
      <c r="D7" s="10"/>
      <c r="E7" s="10"/>
      <c r="F7" s="10"/>
      <c r="G7" s="10"/>
      <c r="H7" s="11" t="s">
        <v>32</v>
      </c>
      <c r="I7" s="31" t="s">
        <v>74</v>
      </c>
      <c r="J7" s="10"/>
      <c r="K7" s="24"/>
      <c r="L7" s="25" t="s">
        <v>44</v>
      </c>
      <c r="M7" s="38" t="s">
        <v>43</v>
      </c>
      <c r="N7" s="38"/>
      <c r="O7" s="10"/>
    </row>
    <row r="8" spans="1:22" ht="14.7" customHeight="1" x14ac:dyDescent="0.4">
      <c r="A8" s="6"/>
      <c r="B8" s="6"/>
      <c r="C8" s="10"/>
      <c r="D8" s="10"/>
      <c r="E8" s="11" t="s">
        <v>35</v>
      </c>
      <c r="F8" s="30">
        <v>1</v>
      </c>
      <c r="G8" s="10"/>
      <c r="H8" s="33" t="s">
        <v>33</v>
      </c>
      <c r="I8" s="57">
        <f>I7-I5</f>
        <v>23.439999999999998</v>
      </c>
      <c r="J8" s="10"/>
      <c r="K8" s="20"/>
      <c r="L8" s="20"/>
      <c r="M8" s="20"/>
      <c r="N8" s="35"/>
      <c r="O8" s="10"/>
    </row>
    <row r="9" spans="1:22" x14ac:dyDescent="0.4">
      <c r="A9" s="6"/>
      <c r="B9" s="6"/>
      <c r="C9" s="10"/>
      <c r="D9" s="10"/>
      <c r="E9" s="10"/>
      <c r="F9" s="10"/>
      <c r="G9" s="10"/>
      <c r="H9" s="17" t="s">
        <v>73</v>
      </c>
      <c r="I9" s="34">
        <v>20.37</v>
      </c>
      <c r="J9" s="10"/>
      <c r="K9" s="23" t="s">
        <v>45</v>
      </c>
      <c r="L9" s="23" t="s">
        <v>46</v>
      </c>
      <c r="M9" s="23" t="s">
        <v>4</v>
      </c>
      <c r="N9" s="37" t="s">
        <v>29</v>
      </c>
      <c r="O9" s="10"/>
      <c r="R9" s="12"/>
    </row>
    <row r="10" spans="1:22" x14ac:dyDescent="0.4">
      <c r="A10" s="12" t="s">
        <v>27</v>
      </c>
      <c r="B10" s="13">
        <f>I3</f>
        <v>75.64</v>
      </c>
      <c r="C10" s="10"/>
      <c r="D10" s="19" t="s">
        <v>71</v>
      </c>
      <c r="E10" s="43"/>
      <c r="F10" s="44"/>
      <c r="G10" s="10"/>
      <c r="H10" s="10"/>
      <c r="I10" s="10"/>
      <c r="J10" s="10"/>
      <c r="K10" s="51" t="s">
        <v>10</v>
      </c>
      <c r="L10" s="51">
        <v>1</v>
      </c>
      <c r="M10" s="52">
        <v>5.99</v>
      </c>
      <c r="N10" s="53">
        <f>ROUND(L10*M10, 2)</f>
        <v>5.99</v>
      </c>
      <c r="O10" s="10"/>
      <c r="R10" s="12"/>
    </row>
    <row r="11" spans="1:22" x14ac:dyDescent="0.4">
      <c r="A11" s="12" t="s">
        <v>28</v>
      </c>
      <c r="B11" s="13">
        <f>I4</f>
        <v>0.92</v>
      </c>
      <c r="C11" s="10"/>
      <c r="D11" s="10"/>
      <c r="E11" s="10"/>
      <c r="F11" s="10"/>
      <c r="G11" s="10"/>
      <c r="H11" s="10"/>
      <c r="I11" s="10"/>
      <c r="J11" s="10"/>
      <c r="K11" s="54" t="s">
        <v>8</v>
      </c>
      <c r="L11" s="54">
        <v>1</v>
      </c>
      <c r="M11" s="55">
        <v>0.99</v>
      </c>
      <c r="N11" s="56">
        <f>ROUND(L11*M11, 2)</f>
        <v>0.99</v>
      </c>
      <c r="O11" s="10"/>
      <c r="R11" s="12"/>
    </row>
    <row r="12" spans="1:22" x14ac:dyDescent="0.4">
      <c r="A12" s="12" t="s">
        <v>30</v>
      </c>
      <c r="B12" s="13">
        <f>I5</f>
        <v>76.56</v>
      </c>
      <c r="C12" s="10"/>
      <c r="D12" s="10"/>
      <c r="E12" s="10"/>
      <c r="F12" s="10"/>
      <c r="G12" s="10"/>
      <c r="H12" s="10"/>
      <c r="I12" s="10"/>
      <c r="J12" s="10"/>
      <c r="K12" s="54" t="s">
        <v>22</v>
      </c>
      <c r="L12" s="54">
        <v>1</v>
      </c>
      <c r="M12" s="55">
        <v>4.95</v>
      </c>
      <c r="N12" s="56">
        <f>ROUND(L12*M12, 2)</f>
        <v>4.95</v>
      </c>
      <c r="O12" s="10"/>
      <c r="R12" s="12"/>
    </row>
    <row r="13" spans="1:22" x14ac:dyDescent="0.4">
      <c r="A13" s="12" t="s">
        <v>47</v>
      </c>
      <c r="B13" s="50">
        <v>88</v>
      </c>
      <c r="C13" s="10"/>
      <c r="D13" s="10"/>
      <c r="E13" s="10"/>
      <c r="F13" s="10"/>
      <c r="G13" s="10"/>
      <c r="H13" s="10"/>
      <c r="I13" s="10"/>
      <c r="J13" s="10"/>
      <c r="K13" s="51" t="s">
        <v>12</v>
      </c>
      <c r="L13" s="51">
        <v>1</v>
      </c>
      <c r="M13" s="52">
        <v>1.95</v>
      </c>
      <c r="N13" s="53">
        <f>ROUND(L13*M13, 2)</f>
        <v>1.95</v>
      </c>
      <c r="O13" s="10"/>
      <c r="R13" s="12"/>
    </row>
    <row r="14" spans="1:22" x14ac:dyDescent="0.4">
      <c r="A14" s="12" t="s">
        <v>33</v>
      </c>
      <c r="B14" s="13">
        <f>I8</f>
        <v>23.439999999999998</v>
      </c>
      <c r="C14" s="10"/>
      <c r="D14" s="10"/>
      <c r="E14" s="10"/>
      <c r="F14" s="10"/>
      <c r="G14" s="10"/>
      <c r="H14" s="10"/>
      <c r="I14" s="10"/>
      <c r="J14" s="10"/>
      <c r="K14" s="51" t="s">
        <v>6</v>
      </c>
      <c r="L14" s="51">
        <v>1</v>
      </c>
      <c r="M14" s="52">
        <v>2.99</v>
      </c>
      <c r="N14" s="53">
        <f>ROUND(L14*M14, 2)</f>
        <v>2.99</v>
      </c>
      <c r="O14" s="10"/>
    </row>
    <row r="15" spans="1:22" x14ac:dyDescent="0.4">
      <c r="A15" s="6"/>
      <c r="B15" s="6"/>
      <c r="C15" s="10"/>
      <c r="D15" s="10"/>
      <c r="E15" s="10"/>
      <c r="F15" s="10"/>
      <c r="G15" s="10"/>
      <c r="H15" s="10"/>
      <c r="I15" s="10"/>
      <c r="J15" s="10"/>
      <c r="K15" s="54" t="s">
        <v>8</v>
      </c>
      <c r="L15" s="54">
        <v>1</v>
      </c>
      <c r="M15" s="55">
        <v>0.99</v>
      </c>
      <c r="N15" s="56">
        <f>ROUND(L15*M15, 2)</f>
        <v>0.99</v>
      </c>
      <c r="O15" s="10"/>
    </row>
    <row r="16" spans="1:22" x14ac:dyDescent="0.4">
      <c r="A16" s="6"/>
      <c r="B16" s="6"/>
      <c r="C16" s="10"/>
      <c r="D16" s="10"/>
      <c r="E16" s="10"/>
      <c r="F16" s="10"/>
      <c r="G16" s="10"/>
      <c r="H16" s="10"/>
      <c r="I16" s="10"/>
      <c r="J16" s="10"/>
      <c r="K16" s="51" t="s">
        <v>14</v>
      </c>
      <c r="L16" s="51">
        <v>1</v>
      </c>
      <c r="M16" s="52">
        <v>3.49</v>
      </c>
      <c r="N16" s="53">
        <f>ROUND(L16*M16, 2)</f>
        <v>3.49</v>
      </c>
      <c r="O16" s="10"/>
    </row>
    <row r="17" spans="1:15" x14ac:dyDescent="0.4">
      <c r="A17" s="6"/>
      <c r="B17" s="6"/>
      <c r="C17" s="10"/>
      <c r="D17" s="10"/>
      <c r="E17" s="10"/>
      <c r="F17" s="10"/>
      <c r="G17" s="10"/>
      <c r="H17" s="10"/>
      <c r="I17" s="10"/>
      <c r="J17" s="10"/>
      <c r="K17" s="54" t="s">
        <v>8</v>
      </c>
      <c r="L17" s="54">
        <v>1</v>
      </c>
      <c r="M17" s="55">
        <v>0.99</v>
      </c>
      <c r="N17" s="56">
        <f>ROUND(L17*M17, 2)</f>
        <v>0.99</v>
      </c>
      <c r="O17" s="10"/>
    </row>
    <row r="18" spans="1:15" x14ac:dyDescent="0.4">
      <c r="A18" s="6"/>
      <c r="B18" s="6"/>
      <c r="C18" s="10"/>
      <c r="D18" s="10"/>
      <c r="E18" s="10"/>
      <c r="F18" s="10"/>
      <c r="G18" s="10"/>
      <c r="H18" s="10"/>
      <c r="I18" s="10"/>
      <c r="J18" s="10"/>
      <c r="K18" s="54" t="s">
        <v>6</v>
      </c>
      <c r="L18" s="54">
        <v>1</v>
      </c>
      <c r="M18" s="55">
        <v>2.99</v>
      </c>
      <c r="N18" s="56">
        <f>ROUND(L18*M18, 2)</f>
        <v>2.99</v>
      </c>
      <c r="O18" s="10"/>
    </row>
    <row r="19" spans="1:15" x14ac:dyDescent="0.4">
      <c r="A19" s="6"/>
      <c r="B19" s="6"/>
      <c r="C19" s="10"/>
      <c r="D19" s="10"/>
      <c r="E19" s="10"/>
      <c r="F19" s="10"/>
      <c r="G19" s="10"/>
      <c r="H19" s="10"/>
      <c r="I19" s="10"/>
      <c r="J19" s="10"/>
      <c r="K19" s="54" t="s">
        <v>6</v>
      </c>
      <c r="L19" s="54">
        <v>1</v>
      </c>
      <c r="M19" s="55">
        <v>2.99</v>
      </c>
      <c r="N19" s="56">
        <f>ROUND(L19*M19, 2)</f>
        <v>2.99</v>
      </c>
      <c r="O19" s="10"/>
    </row>
    <row r="20" spans="1:15" x14ac:dyDescent="0.4">
      <c r="A20" s="6"/>
      <c r="B20" s="6"/>
      <c r="C20" s="10"/>
      <c r="D20" s="10"/>
      <c r="E20" s="10"/>
      <c r="F20" s="10"/>
      <c r="G20" s="10"/>
      <c r="H20" s="10"/>
      <c r="I20" s="10"/>
      <c r="J20" s="10"/>
      <c r="K20" s="51" t="s">
        <v>10</v>
      </c>
      <c r="L20" s="51">
        <v>1</v>
      </c>
      <c r="M20" s="52">
        <v>5.99</v>
      </c>
      <c r="N20" s="53">
        <f>ROUND(L20*M20, 2)</f>
        <v>5.99</v>
      </c>
      <c r="O20" s="10"/>
    </row>
    <row r="21" spans="1:15" x14ac:dyDescent="0.4">
      <c r="A21" s="6"/>
      <c r="B21" s="6"/>
      <c r="C21" s="10"/>
      <c r="D21" s="10"/>
      <c r="E21" s="10"/>
      <c r="F21" s="10"/>
      <c r="G21" s="10"/>
      <c r="H21" s="10"/>
      <c r="I21" s="10"/>
      <c r="J21" s="10"/>
      <c r="K21" s="51" t="s">
        <v>6</v>
      </c>
      <c r="L21" s="51">
        <v>1</v>
      </c>
      <c r="M21" s="52">
        <v>2.99</v>
      </c>
      <c r="N21" s="53">
        <f>ROUND(L21*M21, 2)</f>
        <v>2.99</v>
      </c>
      <c r="O21" s="10"/>
    </row>
    <row r="22" spans="1:15" x14ac:dyDescent="0.4">
      <c r="A22" s="6"/>
      <c r="B22" s="6"/>
      <c r="C22" s="10"/>
      <c r="D22" s="10"/>
      <c r="E22" s="10"/>
      <c r="F22" s="10"/>
      <c r="G22" s="10"/>
      <c r="H22" s="10"/>
      <c r="I22" s="10"/>
      <c r="J22" s="10"/>
      <c r="K22" s="54" t="s">
        <v>8</v>
      </c>
      <c r="L22" s="54">
        <v>1</v>
      </c>
      <c r="M22" s="55">
        <v>0.99</v>
      </c>
      <c r="N22" s="56">
        <f>ROUND(L22*M22, 2)</f>
        <v>0.99</v>
      </c>
      <c r="O22" s="10"/>
    </row>
    <row r="23" spans="1:15" x14ac:dyDescent="0.4">
      <c r="A23" s="6"/>
      <c r="B23" s="6"/>
      <c r="C23" s="10"/>
      <c r="D23" s="10"/>
      <c r="E23" s="10"/>
      <c r="F23" s="10"/>
      <c r="G23" s="10"/>
      <c r="H23" s="10"/>
      <c r="I23" s="10"/>
      <c r="J23" s="10"/>
      <c r="K23" s="51" t="s">
        <v>10</v>
      </c>
      <c r="L23" s="51">
        <v>1</v>
      </c>
      <c r="M23" s="52">
        <v>5.99</v>
      </c>
      <c r="N23" s="53">
        <f>ROUND(L23*M23, 2)</f>
        <v>5.99</v>
      </c>
      <c r="O23" s="10"/>
    </row>
    <row r="24" spans="1:15" x14ac:dyDescent="0.4">
      <c r="A24" s="6"/>
      <c r="B24" s="6"/>
      <c r="C24" s="10"/>
      <c r="D24" s="10"/>
      <c r="E24" s="10"/>
      <c r="F24" s="10"/>
      <c r="G24" s="10"/>
      <c r="H24" s="10"/>
      <c r="I24" s="10"/>
      <c r="J24" s="10"/>
      <c r="K24" s="51" t="s">
        <v>6</v>
      </c>
      <c r="L24" s="51">
        <v>1</v>
      </c>
      <c r="M24" s="52">
        <v>2.99</v>
      </c>
      <c r="N24" s="53">
        <f>ROUND(L24*M24, 2)</f>
        <v>2.99</v>
      </c>
      <c r="O24" s="10"/>
    </row>
    <row r="25" spans="1:15" x14ac:dyDescent="0.4">
      <c r="A25" s="6"/>
      <c r="B25" s="6"/>
      <c r="C25" s="10"/>
      <c r="D25" s="10"/>
      <c r="E25" s="10"/>
      <c r="F25" s="10"/>
      <c r="G25" s="10"/>
      <c r="H25" s="10"/>
      <c r="I25" s="10"/>
      <c r="J25" s="10"/>
      <c r="K25" s="54" t="s">
        <v>14</v>
      </c>
      <c r="L25" s="54">
        <v>1</v>
      </c>
      <c r="M25" s="55">
        <v>3.49</v>
      </c>
      <c r="N25" s="56">
        <f>ROUND(L25*M25, 2)</f>
        <v>3.49</v>
      </c>
      <c r="O25" s="10"/>
    </row>
    <row r="26" spans="1:15" x14ac:dyDescent="0.4">
      <c r="A26" s="6"/>
      <c r="B26" s="6"/>
      <c r="C26" s="10"/>
      <c r="D26" s="10"/>
      <c r="E26" s="10"/>
      <c r="F26" s="10"/>
      <c r="G26" s="10"/>
      <c r="H26" s="10"/>
      <c r="I26" s="10"/>
      <c r="J26" s="10"/>
      <c r="K26" s="51" t="s">
        <v>12</v>
      </c>
      <c r="L26" s="51">
        <v>1</v>
      </c>
      <c r="M26" s="52">
        <v>1.95</v>
      </c>
      <c r="N26" s="53">
        <f>ROUND(L26*M26, 2)</f>
        <v>1.95</v>
      </c>
      <c r="O26" s="10"/>
    </row>
    <row r="27" spans="1:15" x14ac:dyDescent="0.4">
      <c r="A27" s="6"/>
      <c r="B27" s="6"/>
      <c r="C27" s="10"/>
      <c r="D27" s="10"/>
      <c r="E27" s="10"/>
      <c r="F27" s="10"/>
      <c r="G27" s="10"/>
      <c r="H27" s="10"/>
      <c r="I27" s="10"/>
      <c r="J27" s="10"/>
      <c r="K27" s="54" t="s">
        <v>16</v>
      </c>
      <c r="L27" s="54">
        <v>1</v>
      </c>
      <c r="M27" s="55">
        <v>1.99</v>
      </c>
      <c r="N27" s="56">
        <f>ROUND(L27*M27, 2)</f>
        <v>1.99</v>
      </c>
      <c r="O27" s="10"/>
    </row>
    <row r="28" spans="1:15" x14ac:dyDescent="0.4">
      <c r="A28" s="6"/>
      <c r="B28" s="6"/>
      <c r="C28" s="10"/>
      <c r="D28" s="10"/>
      <c r="E28" s="10"/>
      <c r="F28" s="10"/>
      <c r="G28" s="10"/>
      <c r="H28" s="10"/>
      <c r="I28" s="10"/>
      <c r="J28" s="10"/>
      <c r="K28" s="51" t="s">
        <v>18</v>
      </c>
      <c r="L28" s="51">
        <v>1</v>
      </c>
      <c r="M28" s="52">
        <v>3.99</v>
      </c>
      <c r="N28" s="53">
        <f>ROUND(L28*M28, 2)</f>
        <v>3.99</v>
      </c>
      <c r="O28" s="10"/>
    </row>
    <row r="29" spans="1:15" x14ac:dyDescent="0.4">
      <c r="A29" s="6"/>
      <c r="B29" s="6"/>
      <c r="C29" s="10"/>
      <c r="D29" s="10"/>
      <c r="E29" s="10"/>
      <c r="F29" s="10"/>
      <c r="G29" s="10"/>
      <c r="H29" s="10"/>
      <c r="I29" s="10"/>
      <c r="J29" s="10"/>
      <c r="K29" s="51" t="s">
        <v>20</v>
      </c>
      <c r="L29" s="51">
        <v>1</v>
      </c>
      <c r="M29" s="52">
        <v>4.95</v>
      </c>
      <c r="N29" s="53">
        <f>ROUND(L29*M29, 2)</f>
        <v>4.95</v>
      </c>
      <c r="O29" s="10"/>
    </row>
    <row r="30" spans="1:15" x14ac:dyDescent="0.4">
      <c r="A30" s="6"/>
      <c r="B30" s="6"/>
      <c r="C30" s="10"/>
      <c r="D30" s="10"/>
      <c r="E30" s="10"/>
      <c r="F30" s="10"/>
      <c r="G30" s="10"/>
      <c r="H30" s="10"/>
      <c r="I30" s="10"/>
      <c r="J30" s="10"/>
      <c r="K30" s="51" t="s">
        <v>10</v>
      </c>
      <c r="L30" s="51">
        <v>1</v>
      </c>
      <c r="M30" s="52">
        <v>5.99</v>
      </c>
      <c r="N30" s="53">
        <f>ROUND(L30*M30, 2)</f>
        <v>5.99</v>
      </c>
      <c r="O30" s="10"/>
    </row>
    <row r="31" spans="1:15" x14ac:dyDescent="0.4">
      <c r="A31" s="6"/>
      <c r="B31" s="6"/>
      <c r="C31" s="10"/>
      <c r="D31" s="10"/>
      <c r="E31" s="10"/>
      <c r="F31" s="10"/>
      <c r="G31" s="10"/>
      <c r="H31" s="10"/>
      <c r="I31" s="10"/>
      <c r="J31" s="10"/>
      <c r="K31" s="51" t="s">
        <v>18</v>
      </c>
      <c r="L31" s="51">
        <v>1</v>
      </c>
      <c r="M31" s="52">
        <v>3.99</v>
      </c>
      <c r="N31" s="53">
        <f>ROUND(L31*M31, 2)</f>
        <v>3.99</v>
      </c>
      <c r="O31" s="10"/>
    </row>
    <row r="32" spans="1:15" x14ac:dyDescent="0.4">
      <c r="A32" s="6"/>
      <c r="B32" s="6"/>
      <c r="C32" s="10"/>
      <c r="D32" s="10"/>
      <c r="E32" s="10"/>
      <c r="F32" s="10"/>
      <c r="G32" s="10"/>
      <c r="H32" s="10"/>
      <c r="I32" s="10"/>
      <c r="J32" s="10"/>
      <c r="K32" s="51" t="s">
        <v>6</v>
      </c>
      <c r="L32" s="51">
        <v>1</v>
      </c>
      <c r="M32" s="52">
        <v>2.99</v>
      </c>
      <c r="N32" s="53">
        <f>ROUND(L32*M32, 2)</f>
        <v>2.99</v>
      </c>
      <c r="O32" s="10"/>
    </row>
    <row r="33" spans="1:15" x14ac:dyDescent="0.4">
      <c r="A33" s="6"/>
      <c r="B33" s="6"/>
      <c r="C33" s="10"/>
      <c r="D33" s="10"/>
      <c r="E33" s="10"/>
      <c r="F33" s="10"/>
      <c r="G33" s="10"/>
      <c r="H33" s="10"/>
      <c r="I33" s="10"/>
      <c r="J33" s="10"/>
      <c r="K33" s="51" t="s">
        <v>6</v>
      </c>
      <c r="L33" s="51">
        <v>1</v>
      </c>
      <c r="M33" s="52">
        <v>2.99</v>
      </c>
      <c r="N33" s="53">
        <f>ROUND(L33*M33, 2)</f>
        <v>2.99</v>
      </c>
      <c r="O33" s="10"/>
    </row>
    <row r="34" spans="1:15" x14ac:dyDescent="0.4">
      <c r="A34" s="6"/>
      <c r="B34" s="6"/>
      <c r="C34" s="10"/>
      <c r="D34" s="10"/>
      <c r="E34" s="10"/>
      <c r="F34" s="10"/>
      <c r="G34" s="10"/>
      <c r="H34" s="10"/>
      <c r="I34" s="10"/>
      <c r="J34" s="10"/>
      <c r="K34" s="51" t="s">
        <v>14</v>
      </c>
      <c r="L34" s="51">
        <v>1</v>
      </c>
      <c r="M34" s="52">
        <v>3.49</v>
      </c>
      <c r="N34" s="53">
        <f>ROUND(L34*M34, 2)</f>
        <v>3.49</v>
      </c>
      <c r="O34" s="10"/>
    </row>
    <row r="35" spans="1:15" x14ac:dyDescent="0.4">
      <c r="A35" s="6"/>
      <c r="B35" s="6"/>
      <c r="C35" s="10"/>
      <c r="D35" s="10"/>
      <c r="E35" s="10"/>
      <c r="F35" s="10"/>
      <c r="G35" s="10"/>
      <c r="H35" s="10"/>
      <c r="I35" s="10"/>
      <c r="J35" s="10"/>
      <c r="K35" s="51" t="s">
        <v>20</v>
      </c>
      <c r="L35" s="51">
        <v>1</v>
      </c>
      <c r="M35" s="52">
        <v>4.95</v>
      </c>
      <c r="N35" s="53">
        <f>ROUND(L35*M35, 2)</f>
        <v>4.95</v>
      </c>
      <c r="O35" s="10"/>
    </row>
    <row r="36" spans="1:15" x14ac:dyDescent="0.4">
      <c r="A36" s="6"/>
      <c r="B36" s="6"/>
      <c r="C36" s="10"/>
      <c r="D36" s="10"/>
      <c r="E36" s="10"/>
      <c r="F36" s="10"/>
      <c r="G36" s="10"/>
      <c r="H36" s="10"/>
      <c r="I36" s="10"/>
      <c r="J36" s="10"/>
      <c r="K36" s="51" t="s">
        <v>14</v>
      </c>
      <c r="L36" s="51">
        <v>1</v>
      </c>
      <c r="M36" s="52">
        <v>3.49</v>
      </c>
      <c r="N36" s="53">
        <f>ROUND(L36*M36, 2)</f>
        <v>3.49</v>
      </c>
      <c r="O36" s="10"/>
    </row>
    <row r="37" spans="1:15" x14ac:dyDescent="0.4">
      <c r="A37" s="6"/>
      <c r="B37" s="6"/>
      <c r="C37" s="10"/>
      <c r="D37" s="10"/>
      <c r="E37" s="10"/>
      <c r="F37" s="10"/>
      <c r="G37" s="10"/>
      <c r="H37" s="10"/>
      <c r="I37" s="10"/>
      <c r="J37" s="10"/>
      <c r="K37" s="51" t="s">
        <v>14</v>
      </c>
      <c r="L37" s="51">
        <v>1</v>
      </c>
      <c r="M37" s="52">
        <v>3.49</v>
      </c>
      <c r="N37" s="53">
        <f>ROUND(L37*M37, 2)</f>
        <v>3.49</v>
      </c>
      <c r="O37" s="10"/>
    </row>
    <row r="38" spans="1:15" x14ac:dyDescent="0.4">
      <c r="A38" s="6"/>
      <c r="B38" s="6"/>
      <c r="C38" s="10"/>
      <c r="D38" s="10"/>
      <c r="E38" s="10"/>
      <c r="F38" s="10"/>
      <c r="G38" s="10"/>
      <c r="H38" s="10"/>
      <c r="I38" s="10"/>
      <c r="J38" s="10"/>
      <c r="K38" s="51" t="s">
        <v>8</v>
      </c>
      <c r="L38" s="51">
        <v>1</v>
      </c>
      <c r="M38" s="52">
        <v>0.99</v>
      </c>
      <c r="N38" s="53">
        <f>ROUND(L38*M38, 2)</f>
        <v>0.99</v>
      </c>
      <c r="O38" s="10"/>
    </row>
    <row r="39" spans="1:15" x14ac:dyDescent="0.4">
      <c r="A39" s="6"/>
      <c r="B39" s="6"/>
      <c r="C39" s="10"/>
      <c r="D39" s="10"/>
      <c r="E39" s="10"/>
      <c r="F39" s="10"/>
      <c r="G39" s="10"/>
      <c r="H39" s="10"/>
      <c r="I39" s="10"/>
      <c r="J39" s="10"/>
      <c r="K39" s="20"/>
      <c r="L39" s="20"/>
      <c r="M39" s="21"/>
      <c r="N39" s="35"/>
      <c r="O39" s="10"/>
    </row>
    <row r="40" spans="1:15" x14ac:dyDescent="0.4">
      <c r="A40" s="6"/>
      <c r="B40" s="6"/>
      <c r="C40" s="10"/>
      <c r="D40" s="10"/>
      <c r="E40" s="10"/>
      <c r="F40" s="10"/>
      <c r="G40" s="10"/>
      <c r="H40" s="10"/>
      <c r="I40" s="10"/>
      <c r="J40" s="10"/>
      <c r="K40" s="20"/>
      <c r="L40" s="20"/>
      <c r="M40" s="21"/>
      <c r="N40" s="35"/>
      <c r="O40" s="10"/>
    </row>
    <row r="41" spans="1:15" x14ac:dyDescent="0.4">
      <c r="K41" s="20"/>
      <c r="L41" s="20"/>
      <c r="M41" s="21"/>
      <c r="N41" s="35"/>
    </row>
    <row r="42" spans="1:15" x14ac:dyDescent="0.4">
      <c r="K42" s="20"/>
      <c r="L42" s="20"/>
      <c r="M42" s="21"/>
      <c r="N42" s="35"/>
    </row>
    <row r="43" spans="1:15" x14ac:dyDescent="0.4">
      <c r="K43" s="20"/>
      <c r="L43" s="20"/>
      <c r="M43" s="21"/>
      <c r="N43" s="35"/>
    </row>
    <row r="44" spans="1:15" x14ac:dyDescent="0.4">
      <c r="K44" s="20"/>
      <c r="L44" s="20"/>
      <c r="M44" s="21"/>
      <c r="N44" s="35"/>
    </row>
    <row r="45" spans="1:15" x14ac:dyDescent="0.4">
      <c r="K45" s="20"/>
      <c r="L45" s="20"/>
      <c r="M45" s="21"/>
      <c r="N45" s="35"/>
    </row>
    <row r="46" spans="1:15" x14ac:dyDescent="0.4">
      <c r="K46" s="20"/>
      <c r="L46" s="20"/>
      <c r="M46" s="21"/>
      <c r="N46" s="35"/>
    </row>
    <row r="47" spans="1:15" x14ac:dyDescent="0.4">
      <c r="K47" s="20"/>
      <c r="L47" s="20"/>
      <c r="M47" s="21"/>
      <c r="N47" s="35"/>
    </row>
    <row r="48" spans="1:15" x14ac:dyDescent="0.4">
      <c r="K48" s="20"/>
      <c r="L48" s="20"/>
      <c r="M48" s="21"/>
      <c r="N48" s="35"/>
    </row>
    <row r="49" spans="11:14" x14ac:dyDescent="0.4">
      <c r="K49" s="20"/>
      <c r="L49" s="20"/>
      <c r="M49" s="21"/>
      <c r="N49" s="35"/>
    </row>
    <row r="50" spans="11:14" x14ac:dyDescent="0.4">
      <c r="K50" s="20"/>
      <c r="L50" s="20"/>
      <c r="M50" s="21"/>
      <c r="N50" s="35"/>
    </row>
    <row r="51" spans="11:14" x14ac:dyDescent="0.4">
      <c r="K51" s="20"/>
      <c r="L51" s="20"/>
      <c r="M51" s="21"/>
      <c r="N51" s="35"/>
    </row>
    <row r="52" spans="11:14" x14ac:dyDescent="0.4">
      <c r="K52" s="20"/>
      <c r="L52" s="20"/>
      <c r="M52" s="21"/>
      <c r="N52" s="35"/>
    </row>
    <row r="53" spans="11:14" x14ac:dyDescent="0.4">
      <c r="K53" s="20"/>
      <c r="L53" s="20"/>
      <c r="M53" s="21"/>
      <c r="N53" s="35"/>
    </row>
    <row r="54" spans="11:14" x14ac:dyDescent="0.4">
      <c r="K54" s="20"/>
      <c r="L54" s="20"/>
      <c r="M54" s="21"/>
      <c r="N54" s="35"/>
    </row>
    <row r="55" spans="11:14" x14ac:dyDescent="0.4">
      <c r="K55" s="20"/>
      <c r="L55" s="20"/>
      <c r="M55" s="21"/>
      <c r="N55" s="35"/>
    </row>
    <row r="56" spans="11:14" x14ac:dyDescent="0.4">
      <c r="K56" s="20"/>
      <c r="L56" s="20"/>
      <c r="M56" s="21"/>
      <c r="N56" s="35"/>
    </row>
    <row r="57" spans="11:14" x14ac:dyDescent="0.4">
      <c r="K57" s="20"/>
      <c r="L57" s="20"/>
      <c r="M57" s="21"/>
      <c r="N57" s="35"/>
    </row>
    <row r="58" spans="11:14" x14ac:dyDescent="0.4">
      <c r="K58" s="20"/>
      <c r="L58" s="20"/>
      <c r="M58" s="21"/>
      <c r="N58" s="35"/>
    </row>
    <row r="59" spans="11:14" x14ac:dyDescent="0.4">
      <c r="K59" s="20"/>
      <c r="L59" s="20"/>
      <c r="M59" s="21"/>
      <c r="N59" s="35"/>
    </row>
    <row r="60" spans="11:14" x14ac:dyDescent="0.4">
      <c r="K60" s="20"/>
      <c r="L60" s="20"/>
      <c r="M60" s="21"/>
      <c r="N60" s="35"/>
    </row>
    <row r="61" spans="11:14" x14ac:dyDescent="0.4">
      <c r="K61" s="20"/>
      <c r="L61" s="20"/>
      <c r="M61" s="21"/>
      <c r="N61" s="35"/>
    </row>
    <row r="62" spans="11:14" x14ac:dyDescent="0.4">
      <c r="K62" s="20"/>
      <c r="L62" s="20"/>
      <c r="M62" s="21"/>
      <c r="N62" s="35"/>
    </row>
    <row r="63" spans="11:14" x14ac:dyDescent="0.4">
      <c r="K63" s="20"/>
      <c r="L63" s="20"/>
      <c r="M63" s="21"/>
      <c r="N63" s="35"/>
    </row>
    <row r="64" spans="11:14" x14ac:dyDescent="0.4">
      <c r="K64" s="20"/>
      <c r="L64" s="20"/>
      <c r="M64" s="21"/>
      <c r="N64" s="35"/>
    </row>
    <row r="65" spans="11:14" x14ac:dyDescent="0.4">
      <c r="K65" s="20"/>
      <c r="L65" s="20"/>
      <c r="M65" s="21"/>
      <c r="N65" s="35"/>
    </row>
    <row r="66" spans="11:14" x14ac:dyDescent="0.4">
      <c r="K66" s="20"/>
      <c r="L66" s="20"/>
      <c r="M66" s="21"/>
      <c r="N66" s="35"/>
    </row>
    <row r="67" spans="11:14" x14ac:dyDescent="0.4">
      <c r="K67" s="20"/>
      <c r="L67" s="20"/>
      <c r="M67" s="21"/>
      <c r="N67" s="35"/>
    </row>
    <row r="68" spans="11:14" x14ac:dyDescent="0.4">
      <c r="K68" s="20"/>
      <c r="L68" s="20"/>
      <c r="M68" s="21"/>
      <c r="N68" s="35"/>
    </row>
    <row r="69" spans="11:14" x14ac:dyDescent="0.4">
      <c r="K69" s="20"/>
      <c r="L69" s="20"/>
      <c r="M69" s="21"/>
      <c r="N69" s="35"/>
    </row>
    <row r="70" spans="11:14" x14ac:dyDescent="0.4">
      <c r="K70" s="20"/>
      <c r="L70" s="20"/>
      <c r="M70" s="21"/>
      <c r="N70" s="35"/>
    </row>
    <row r="71" spans="11:14" x14ac:dyDescent="0.4">
      <c r="K71" s="20"/>
      <c r="L71" s="20"/>
      <c r="M71" s="21"/>
      <c r="N71" s="35"/>
    </row>
    <row r="72" spans="11:14" x14ac:dyDescent="0.4">
      <c r="K72" s="20"/>
      <c r="L72" s="20"/>
      <c r="M72" s="21"/>
      <c r="N72" s="35"/>
    </row>
    <row r="73" spans="11:14" x14ac:dyDescent="0.4">
      <c r="K73" s="20"/>
      <c r="L73" s="20"/>
      <c r="M73" s="21"/>
      <c r="N73" s="35"/>
    </row>
    <row r="74" spans="11:14" x14ac:dyDescent="0.4">
      <c r="K74" s="20"/>
      <c r="L74" s="20"/>
      <c r="M74" s="21"/>
      <c r="N74" s="35"/>
    </row>
    <row r="75" spans="11:14" x14ac:dyDescent="0.4">
      <c r="K75" s="20"/>
      <c r="L75" s="20"/>
      <c r="M75" s="21"/>
      <c r="N75" s="35"/>
    </row>
    <row r="76" spans="11:14" x14ac:dyDescent="0.4">
      <c r="K76" s="20"/>
      <c r="L76" s="20"/>
      <c r="M76" s="21"/>
      <c r="N76" s="35"/>
    </row>
    <row r="77" spans="11:14" x14ac:dyDescent="0.4">
      <c r="K77" s="20"/>
      <c r="L77" s="20"/>
      <c r="M77" s="21"/>
      <c r="N77" s="35"/>
    </row>
    <row r="78" spans="11:14" x14ac:dyDescent="0.4">
      <c r="K78" s="20"/>
      <c r="L78" s="20"/>
      <c r="M78" s="21"/>
      <c r="N78" s="35"/>
    </row>
    <row r="79" spans="11:14" x14ac:dyDescent="0.4">
      <c r="K79" s="20"/>
      <c r="L79" s="20"/>
      <c r="M79" s="20"/>
      <c r="N79" s="35"/>
    </row>
    <row r="80" spans="11:14" x14ac:dyDescent="0.4">
      <c r="N80" s="35"/>
    </row>
    <row r="81" spans="14:14" x14ac:dyDescent="0.4">
      <c r="N81" s="35"/>
    </row>
    <row r="82" spans="14:14" x14ac:dyDescent="0.4">
      <c r="N82" s="35"/>
    </row>
    <row r="83" spans="14:14" x14ac:dyDescent="0.4">
      <c r="N83" s="35"/>
    </row>
    <row r="84" spans="14:14" x14ac:dyDescent="0.4">
      <c r="N84" s="35"/>
    </row>
    <row r="85" spans="14:14" x14ac:dyDescent="0.4">
      <c r="N85" s="35"/>
    </row>
    <row r="86" spans="14:14" x14ac:dyDescent="0.4">
      <c r="N86" s="35"/>
    </row>
    <row r="87" spans="14:14" x14ac:dyDescent="0.4">
      <c r="N87" s="35"/>
    </row>
    <row r="88" spans="14:14" x14ac:dyDescent="0.4">
      <c r="N88" s="35"/>
    </row>
    <row r="89" spans="14:14" x14ac:dyDescent="0.4">
      <c r="N89" s="35"/>
    </row>
    <row r="90" spans="14:14" x14ac:dyDescent="0.4">
      <c r="N90" s="35"/>
    </row>
    <row r="91" spans="14:14" x14ac:dyDescent="0.4">
      <c r="N91" s="35"/>
    </row>
    <row r="92" spans="14:14" x14ac:dyDescent="0.4">
      <c r="N92" s="35"/>
    </row>
    <row r="93" spans="14:14" x14ac:dyDescent="0.4">
      <c r="N93" s="35"/>
    </row>
    <row r="94" spans="14:14" x14ac:dyDescent="0.4">
      <c r="N94" s="35"/>
    </row>
    <row r="95" spans="14:14" x14ac:dyDescent="0.4">
      <c r="N95" s="35"/>
    </row>
    <row r="96" spans="14:14" x14ac:dyDescent="0.4">
      <c r="N96" s="35"/>
    </row>
    <row r="97" spans="14:14" x14ac:dyDescent="0.4">
      <c r="N97" s="35"/>
    </row>
    <row r="98" spans="14:14" x14ac:dyDescent="0.4">
      <c r="N98" s="35"/>
    </row>
    <row r="99" spans="14:14" x14ac:dyDescent="0.4">
      <c r="N99" s="35"/>
    </row>
    <row r="100" spans="14:14" x14ac:dyDescent="0.4">
      <c r="N100" s="35"/>
    </row>
    <row r="101" spans="14:14" x14ac:dyDescent="0.4">
      <c r="N101" s="35"/>
    </row>
    <row r="102" spans="14:14" x14ac:dyDescent="0.4">
      <c r="N102" s="35"/>
    </row>
    <row r="103" spans="14:14" x14ac:dyDescent="0.4">
      <c r="N103" s="35"/>
    </row>
    <row r="104" spans="14:14" x14ac:dyDescent="0.4">
      <c r="N104" s="35"/>
    </row>
    <row r="105" spans="14:14" x14ac:dyDescent="0.4">
      <c r="N105" s="35"/>
    </row>
    <row r="106" spans="14:14" x14ac:dyDescent="0.4">
      <c r="N106" s="35"/>
    </row>
    <row r="107" spans="14:14" x14ac:dyDescent="0.4">
      <c r="N107" s="35"/>
    </row>
    <row r="108" spans="14:14" x14ac:dyDescent="0.4">
      <c r="N108" s="35"/>
    </row>
    <row r="109" spans="14:14" x14ac:dyDescent="0.4">
      <c r="N109" s="35"/>
    </row>
    <row r="110" spans="14:14" x14ac:dyDescent="0.4">
      <c r="N110" s="35"/>
    </row>
    <row r="111" spans="14:14" x14ac:dyDescent="0.4">
      <c r="N111" s="35"/>
    </row>
    <row r="112" spans="14:14" x14ac:dyDescent="0.4">
      <c r="N112" s="35"/>
    </row>
    <row r="113" spans="14:14" x14ac:dyDescent="0.4">
      <c r="N113" s="35"/>
    </row>
    <row r="114" spans="14:14" x14ac:dyDescent="0.4">
      <c r="N114" s="35"/>
    </row>
    <row r="115" spans="14:14" x14ac:dyDescent="0.4">
      <c r="N115" s="35"/>
    </row>
    <row r="116" spans="14:14" x14ac:dyDescent="0.4">
      <c r="N116" s="35"/>
    </row>
    <row r="117" spans="14:14" x14ac:dyDescent="0.4">
      <c r="N117" s="35"/>
    </row>
    <row r="118" spans="14:14" x14ac:dyDescent="0.4">
      <c r="N118" s="35"/>
    </row>
    <row r="119" spans="14:14" x14ac:dyDescent="0.4">
      <c r="N119" s="35"/>
    </row>
    <row r="120" spans="14:14" x14ac:dyDescent="0.4">
      <c r="N120" s="35"/>
    </row>
    <row r="121" spans="14:14" x14ac:dyDescent="0.4">
      <c r="N121" s="35"/>
    </row>
    <row r="122" spans="14:14" x14ac:dyDescent="0.4">
      <c r="N122" s="35"/>
    </row>
    <row r="123" spans="14:14" x14ac:dyDescent="0.4">
      <c r="N123" s="35"/>
    </row>
    <row r="124" spans="14:14" x14ac:dyDescent="0.4">
      <c r="N124" s="35"/>
    </row>
    <row r="125" spans="14:14" x14ac:dyDescent="0.4">
      <c r="N125" s="35"/>
    </row>
    <row r="126" spans="14:14" x14ac:dyDescent="0.4">
      <c r="N126" s="35"/>
    </row>
    <row r="127" spans="14:14" x14ac:dyDescent="0.4">
      <c r="N127" s="35"/>
    </row>
    <row r="128" spans="14:14" x14ac:dyDescent="0.4">
      <c r="N128" s="35"/>
    </row>
    <row r="129" spans="14:14" x14ac:dyDescent="0.4">
      <c r="N129" s="35"/>
    </row>
    <row r="130" spans="14:14" x14ac:dyDescent="0.4">
      <c r="N130" s="35"/>
    </row>
    <row r="131" spans="14:14" x14ac:dyDescent="0.4">
      <c r="N131" s="35"/>
    </row>
    <row r="132" spans="14:14" x14ac:dyDescent="0.4">
      <c r="N132" s="35"/>
    </row>
    <row r="133" spans="14:14" x14ac:dyDescent="0.4">
      <c r="N133" s="35"/>
    </row>
    <row r="134" spans="14:14" x14ac:dyDescent="0.4">
      <c r="N134" s="35"/>
    </row>
    <row r="135" spans="14:14" x14ac:dyDescent="0.4">
      <c r="N135" s="35"/>
    </row>
    <row r="136" spans="14:14" x14ac:dyDescent="0.4">
      <c r="N136" s="35"/>
    </row>
    <row r="137" spans="14:14" x14ac:dyDescent="0.4">
      <c r="N137" s="35"/>
    </row>
    <row r="138" spans="14:14" x14ac:dyDescent="0.4">
      <c r="N138" s="35"/>
    </row>
    <row r="139" spans="14:14" x14ac:dyDescent="0.4">
      <c r="N139" s="35"/>
    </row>
    <row r="140" spans="14:14" x14ac:dyDescent="0.4">
      <c r="N140" s="35"/>
    </row>
    <row r="141" spans="14:14" x14ac:dyDescent="0.4">
      <c r="N141" s="35"/>
    </row>
    <row r="142" spans="14:14" x14ac:dyDescent="0.4">
      <c r="N142" s="35"/>
    </row>
    <row r="143" spans="14:14" x14ac:dyDescent="0.4">
      <c r="N143" s="35"/>
    </row>
    <row r="144" spans="14:14" x14ac:dyDescent="0.4">
      <c r="N144" s="35"/>
    </row>
    <row r="145" spans="14:14" x14ac:dyDescent="0.4">
      <c r="N145" s="35"/>
    </row>
    <row r="146" spans="14:14" x14ac:dyDescent="0.4">
      <c r="N146" s="35"/>
    </row>
    <row r="147" spans="14:14" x14ac:dyDescent="0.4">
      <c r="N147" s="35"/>
    </row>
    <row r="148" spans="14:14" x14ac:dyDescent="0.4">
      <c r="N148" s="35"/>
    </row>
    <row r="149" spans="14:14" x14ac:dyDescent="0.4">
      <c r="N149" s="35"/>
    </row>
    <row r="150" spans="14:14" x14ac:dyDescent="0.4">
      <c r="N150" s="35"/>
    </row>
    <row r="151" spans="14:14" x14ac:dyDescent="0.4">
      <c r="N151" s="35"/>
    </row>
    <row r="152" spans="14:14" x14ac:dyDescent="0.4">
      <c r="N152" s="35"/>
    </row>
    <row r="153" spans="14:14" x14ac:dyDescent="0.4">
      <c r="N153" s="35"/>
    </row>
    <row r="154" spans="14:14" x14ac:dyDescent="0.4">
      <c r="N154" s="35"/>
    </row>
    <row r="155" spans="14:14" x14ac:dyDescent="0.4">
      <c r="N155" s="35"/>
    </row>
    <row r="156" spans="14:14" x14ac:dyDescent="0.4">
      <c r="N156" s="35"/>
    </row>
    <row r="157" spans="14:14" x14ac:dyDescent="0.4">
      <c r="N157" s="35"/>
    </row>
    <row r="158" spans="14:14" x14ac:dyDescent="0.4">
      <c r="N158" s="35"/>
    </row>
    <row r="159" spans="14:14" x14ac:dyDescent="0.4">
      <c r="N159" s="35"/>
    </row>
    <row r="160" spans="14:14" x14ac:dyDescent="0.4">
      <c r="N160" s="35"/>
    </row>
    <row r="161" spans="14:14" x14ac:dyDescent="0.4">
      <c r="N161" s="35"/>
    </row>
    <row r="162" spans="14:14" x14ac:dyDescent="0.4">
      <c r="N162" s="35"/>
    </row>
    <row r="163" spans="14:14" x14ac:dyDescent="0.4">
      <c r="N163" s="35"/>
    </row>
    <row r="164" spans="14:14" x14ac:dyDescent="0.4">
      <c r="N164" s="35"/>
    </row>
    <row r="165" spans="14:14" x14ac:dyDescent="0.4">
      <c r="N165" s="35"/>
    </row>
    <row r="166" spans="14:14" x14ac:dyDescent="0.4">
      <c r="N166" s="35"/>
    </row>
    <row r="167" spans="14:14" x14ac:dyDescent="0.4">
      <c r="N167" s="35"/>
    </row>
    <row r="168" spans="14:14" x14ac:dyDescent="0.4">
      <c r="N168" s="35"/>
    </row>
    <row r="169" spans="14:14" x14ac:dyDescent="0.4">
      <c r="N169" s="35"/>
    </row>
    <row r="170" spans="14:14" x14ac:dyDescent="0.4">
      <c r="N170" s="35"/>
    </row>
    <row r="171" spans="14:14" x14ac:dyDescent="0.4">
      <c r="N171" s="35"/>
    </row>
    <row r="172" spans="14:14" x14ac:dyDescent="0.4">
      <c r="N172" s="35"/>
    </row>
    <row r="173" spans="14:14" x14ac:dyDescent="0.4">
      <c r="N173" s="35"/>
    </row>
    <row r="174" spans="14:14" x14ac:dyDescent="0.4">
      <c r="N174" s="35"/>
    </row>
    <row r="175" spans="14:14" x14ac:dyDescent="0.4">
      <c r="N175" s="35"/>
    </row>
    <row r="176" spans="14:14" x14ac:dyDescent="0.4">
      <c r="N176" s="35"/>
    </row>
    <row r="177" spans="14:14" x14ac:dyDescent="0.4">
      <c r="N177" s="35"/>
    </row>
    <row r="178" spans="14:14" x14ac:dyDescent="0.4">
      <c r="N178" s="35"/>
    </row>
    <row r="179" spans="14:14" x14ac:dyDescent="0.4">
      <c r="N179" s="35"/>
    </row>
    <row r="180" spans="14:14" x14ac:dyDescent="0.4">
      <c r="N180" s="35"/>
    </row>
    <row r="181" spans="14:14" x14ac:dyDescent="0.4">
      <c r="N181" s="35"/>
    </row>
    <row r="182" spans="14:14" x14ac:dyDescent="0.4">
      <c r="N182" s="35"/>
    </row>
    <row r="183" spans="14:14" x14ac:dyDescent="0.4">
      <c r="N183" s="35"/>
    </row>
    <row r="184" spans="14:14" x14ac:dyDescent="0.4">
      <c r="N184" s="35"/>
    </row>
    <row r="185" spans="14:14" x14ac:dyDescent="0.4">
      <c r="N185" s="35"/>
    </row>
    <row r="186" spans="14:14" x14ac:dyDescent="0.4">
      <c r="N186" s="35"/>
    </row>
    <row r="187" spans="14:14" x14ac:dyDescent="0.4">
      <c r="N187" s="35"/>
    </row>
    <row r="188" spans="14:14" x14ac:dyDescent="0.4">
      <c r="N188" s="35"/>
    </row>
    <row r="189" spans="14:14" x14ac:dyDescent="0.4">
      <c r="N189" s="35"/>
    </row>
    <row r="190" spans="14:14" x14ac:dyDescent="0.4">
      <c r="N190" s="35"/>
    </row>
    <row r="191" spans="14:14" x14ac:dyDescent="0.4">
      <c r="N191" s="35"/>
    </row>
    <row r="192" spans="14:14" x14ac:dyDescent="0.4">
      <c r="N192" s="35"/>
    </row>
    <row r="193" spans="14:14" x14ac:dyDescent="0.4">
      <c r="N193" s="35"/>
    </row>
    <row r="194" spans="14:14" x14ac:dyDescent="0.4">
      <c r="N194" s="35"/>
    </row>
    <row r="195" spans="14:14" x14ac:dyDescent="0.4">
      <c r="N195" s="35"/>
    </row>
    <row r="196" spans="14:14" x14ac:dyDescent="0.4">
      <c r="N196" s="35"/>
    </row>
    <row r="197" spans="14:14" x14ac:dyDescent="0.4">
      <c r="N197" s="35"/>
    </row>
    <row r="198" spans="14:14" x14ac:dyDescent="0.4">
      <c r="N198" s="35"/>
    </row>
    <row r="199" spans="14:14" x14ac:dyDescent="0.4">
      <c r="N199" s="35"/>
    </row>
    <row r="200" spans="14:14" x14ac:dyDescent="0.4">
      <c r="N200" s="35"/>
    </row>
    <row r="201" spans="14:14" x14ac:dyDescent="0.4">
      <c r="N201" s="35"/>
    </row>
    <row r="202" spans="14:14" x14ac:dyDescent="0.4">
      <c r="N202" s="35"/>
    </row>
    <row r="203" spans="14:14" x14ac:dyDescent="0.4">
      <c r="N203" s="35"/>
    </row>
    <row r="204" spans="14:14" x14ac:dyDescent="0.4">
      <c r="N204" s="35"/>
    </row>
    <row r="205" spans="14:14" x14ac:dyDescent="0.4">
      <c r="N205" s="35"/>
    </row>
    <row r="206" spans="14:14" x14ac:dyDescent="0.4">
      <c r="N206" s="35"/>
    </row>
    <row r="207" spans="14:14" x14ac:dyDescent="0.4">
      <c r="N207" s="35"/>
    </row>
    <row r="208" spans="14:14" x14ac:dyDescent="0.4">
      <c r="N208" s="35"/>
    </row>
    <row r="209" spans="14:14" x14ac:dyDescent="0.4">
      <c r="N209" s="35"/>
    </row>
    <row r="210" spans="14:14" x14ac:dyDescent="0.4">
      <c r="N210" s="35"/>
    </row>
    <row r="211" spans="14:14" x14ac:dyDescent="0.4">
      <c r="N211" s="35"/>
    </row>
    <row r="212" spans="14:14" x14ac:dyDescent="0.4">
      <c r="N212" s="35"/>
    </row>
    <row r="213" spans="14:14" x14ac:dyDescent="0.4">
      <c r="N213" s="35"/>
    </row>
    <row r="214" spans="14:14" x14ac:dyDescent="0.4">
      <c r="N214" s="35"/>
    </row>
    <row r="215" spans="14:14" x14ac:dyDescent="0.4">
      <c r="N215" s="35"/>
    </row>
    <row r="216" spans="14:14" x14ac:dyDescent="0.4">
      <c r="N216" s="35"/>
    </row>
    <row r="217" spans="14:14" x14ac:dyDescent="0.4">
      <c r="N217" s="35"/>
    </row>
    <row r="218" spans="14:14" x14ac:dyDescent="0.4">
      <c r="N218" s="35"/>
    </row>
    <row r="219" spans="14:14" x14ac:dyDescent="0.4">
      <c r="N219" s="35"/>
    </row>
    <row r="220" spans="14:14" x14ac:dyDescent="0.4">
      <c r="N220" s="35"/>
    </row>
    <row r="221" spans="14:14" x14ac:dyDescent="0.4">
      <c r="N221" s="35"/>
    </row>
    <row r="222" spans="14:14" x14ac:dyDescent="0.4">
      <c r="N222" s="35"/>
    </row>
    <row r="223" spans="14:14" x14ac:dyDescent="0.4">
      <c r="N223" s="35"/>
    </row>
    <row r="224" spans="14:14" x14ac:dyDescent="0.4">
      <c r="N224" s="35"/>
    </row>
    <row r="225" spans="14:14" x14ac:dyDescent="0.4">
      <c r="N225" s="35"/>
    </row>
    <row r="226" spans="14:14" x14ac:dyDescent="0.4">
      <c r="N226" s="35"/>
    </row>
    <row r="227" spans="14:14" x14ac:dyDescent="0.4">
      <c r="N227" s="35"/>
    </row>
    <row r="228" spans="14:14" x14ac:dyDescent="0.4">
      <c r="N228" s="35"/>
    </row>
    <row r="229" spans="14:14" x14ac:dyDescent="0.4">
      <c r="N229" s="35"/>
    </row>
    <row r="230" spans="14:14" x14ac:dyDescent="0.4">
      <c r="N230" s="35"/>
    </row>
    <row r="231" spans="14:14" x14ac:dyDescent="0.4">
      <c r="N231" s="35"/>
    </row>
    <row r="232" spans="14:14" x14ac:dyDescent="0.4">
      <c r="N232" s="35"/>
    </row>
    <row r="233" spans="14:14" x14ac:dyDescent="0.4">
      <c r="N233" s="35"/>
    </row>
    <row r="234" spans="14:14" x14ac:dyDescent="0.4">
      <c r="N234" s="35"/>
    </row>
    <row r="235" spans="14:14" x14ac:dyDescent="0.4">
      <c r="N235" s="35"/>
    </row>
    <row r="236" spans="14:14" x14ac:dyDescent="0.4">
      <c r="N236" s="35"/>
    </row>
    <row r="237" spans="14:14" x14ac:dyDescent="0.4">
      <c r="N237" s="35"/>
    </row>
    <row r="238" spans="14:14" x14ac:dyDescent="0.4">
      <c r="N238" s="35"/>
    </row>
    <row r="239" spans="14:14" x14ac:dyDescent="0.4">
      <c r="N239" s="35"/>
    </row>
    <row r="240" spans="14:14" x14ac:dyDescent="0.4">
      <c r="N240" s="35"/>
    </row>
    <row r="241" spans="14:14" x14ac:dyDescent="0.4">
      <c r="N241" s="35"/>
    </row>
    <row r="242" spans="14:14" x14ac:dyDescent="0.4">
      <c r="N242" s="35"/>
    </row>
    <row r="243" spans="14:14" x14ac:dyDescent="0.4">
      <c r="N243" s="35"/>
    </row>
    <row r="244" spans="14:14" x14ac:dyDescent="0.4">
      <c r="N244" s="35"/>
    </row>
    <row r="245" spans="14:14" x14ac:dyDescent="0.4">
      <c r="N245" s="35"/>
    </row>
    <row r="246" spans="14:14" x14ac:dyDescent="0.4">
      <c r="N246" s="35"/>
    </row>
    <row r="247" spans="14:14" x14ac:dyDescent="0.4">
      <c r="N247" s="35"/>
    </row>
    <row r="248" spans="14:14" x14ac:dyDescent="0.4">
      <c r="N248" s="35"/>
    </row>
    <row r="249" spans="14:14" x14ac:dyDescent="0.4">
      <c r="N249" s="35"/>
    </row>
    <row r="250" spans="14:14" x14ac:dyDescent="0.4">
      <c r="N250" s="35"/>
    </row>
    <row r="251" spans="14:14" x14ac:dyDescent="0.4">
      <c r="N251" s="35"/>
    </row>
    <row r="252" spans="14:14" x14ac:dyDescent="0.4">
      <c r="N252" s="35"/>
    </row>
    <row r="253" spans="14:14" x14ac:dyDescent="0.4">
      <c r="N253" s="35"/>
    </row>
    <row r="254" spans="14:14" x14ac:dyDescent="0.4">
      <c r="N254" s="35"/>
    </row>
    <row r="255" spans="14:14" x14ac:dyDescent="0.4">
      <c r="N255" s="35"/>
    </row>
    <row r="256" spans="14:14" x14ac:dyDescent="0.4">
      <c r="N256" s="35"/>
    </row>
    <row r="257" spans="14:14" x14ac:dyDescent="0.4">
      <c r="N257" s="35"/>
    </row>
    <row r="258" spans="14:14" x14ac:dyDescent="0.4">
      <c r="N258" s="35"/>
    </row>
    <row r="259" spans="14:14" x14ac:dyDescent="0.4">
      <c r="N259" s="35"/>
    </row>
    <row r="260" spans="14:14" x14ac:dyDescent="0.4">
      <c r="N260" s="35"/>
    </row>
    <row r="261" spans="14:14" x14ac:dyDescent="0.4">
      <c r="N261" s="35"/>
    </row>
    <row r="262" spans="14:14" x14ac:dyDescent="0.4">
      <c r="N262" s="35"/>
    </row>
    <row r="263" spans="14:14" x14ac:dyDescent="0.4">
      <c r="N263" s="35"/>
    </row>
    <row r="264" spans="14:14" x14ac:dyDescent="0.4">
      <c r="N264" s="35"/>
    </row>
    <row r="265" spans="14:14" x14ac:dyDescent="0.4">
      <c r="N265" s="35"/>
    </row>
    <row r="266" spans="14:14" x14ac:dyDescent="0.4">
      <c r="N266" s="35"/>
    </row>
    <row r="267" spans="14:14" x14ac:dyDescent="0.4">
      <c r="N267" s="35"/>
    </row>
    <row r="268" spans="14:14" x14ac:dyDescent="0.4">
      <c r="N268" s="35"/>
    </row>
    <row r="269" spans="14:14" x14ac:dyDescent="0.4">
      <c r="N269" s="35"/>
    </row>
    <row r="270" spans="14:14" x14ac:dyDescent="0.4">
      <c r="N270" s="35"/>
    </row>
    <row r="271" spans="14:14" x14ac:dyDescent="0.4">
      <c r="N271" s="35"/>
    </row>
    <row r="272" spans="14:14" x14ac:dyDescent="0.4">
      <c r="N272" s="35"/>
    </row>
    <row r="273" spans="14:14" x14ac:dyDescent="0.4">
      <c r="N273" s="35"/>
    </row>
    <row r="274" spans="14:14" x14ac:dyDescent="0.4">
      <c r="N274" s="35"/>
    </row>
    <row r="275" spans="14:14" x14ac:dyDescent="0.4">
      <c r="N275" s="35"/>
    </row>
    <row r="276" spans="14:14" x14ac:dyDescent="0.4">
      <c r="N276" s="35"/>
    </row>
    <row r="277" spans="14:14" x14ac:dyDescent="0.4">
      <c r="N277" s="35"/>
    </row>
    <row r="278" spans="14:14" x14ac:dyDescent="0.4">
      <c r="N278" s="35"/>
    </row>
    <row r="279" spans="14:14" x14ac:dyDescent="0.4">
      <c r="N279" s="35"/>
    </row>
    <row r="280" spans="14:14" x14ac:dyDescent="0.4">
      <c r="N280" s="35"/>
    </row>
    <row r="281" spans="14:14" x14ac:dyDescent="0.4">
      <c r="N281" s="35"/>
    </row>
    <row r="282" spans="14:14" x14ac:dyDescent="0.4">
      <c r="N282" s="35"/>
    </row>
    <row r="283" spans="14:14" x14ac:dyDescent="0.4">
      <c r="N283" s="35"/>
    </row>
    <row r="284" spans="14:14" x14ac:dyDescent="0.4">
      <c r="N284" s="35"/>
    </row>
    <row r="285" spans="14:14" x14ac:dyDescent="0.4">
      <c r="N285" s="35"/>
    </row>
    <row r="286" spans="14:14" x14ac:dyDescent="0.4">
      <c r="N286" s="35"/>
    </row>
    <row r="287" spans="14:14" x14ac:dyDescent="0.4">
      <c r="N287" s="35"/>
    </row>
    <row r="288" spans="14:14" x14ac:dyDescent="0.4">
      <c r="N288" s="35"/>
    </row>
    <row r="289" spans="14:14" x14ac:dyDescent="0.4">
      <c r="N289" s="35"/>
    </row>
    <row r="290" spans="14:14" x14ac:dyDescent="0.4">
      <c r="N290" s="35"/>
    </row>
    <row r="291" spans="14:14" x14ac:dyDescent="0.4">
      <c r="N291" s="35"/>
    </row>
    <row r="292" spans="14:14" x14ac:dyDescent="0.4">
      <c r="N292" s="35"/>
    </row>
    <row r="293" spans="14:14" x14ac:dyDescent="0.4">
      <c r="N293" s="35"/>
    </row>
    <row r="294" spans="14:14" x14ac:dyDescent="0.4">
      <c r="N294" s="35"/>
    </row>
    <row r="295" spans="14:14" x14ac:dyDescent="0.4">
      <c r="N295" s="35"/>
    </row>
    <row r="296" spans="14:14" x14ac:dyDescent="0.4">
      <c r="N296" s="35"/>
    </row>
    <row r="297" spans="14:14" x14ac:dyDescent="0.4">
      <c r="N297" s="35"/>
    </row>
    <row r="298" spans="14:14" x14ac:dyDescent="0.4">
      <c r="N298" s="35"/>
    </row>
    <row r="299" spans="14:14" x14ac:dyDescent="0.4">
      <c r="N299" s="35"/>
    </row>
    <row r="300" spans="14:14" x14ac:dyDescent="0.4">
      <c r="N300" s="35"/>
    </row>
    <row r="301" spans="14:14" x14ac:dyDescent="0.4">
      <c r="N301" s="35"/>
    </row>
    <row r="302" spans="14:14" x14ac:dyDescent="0.4">
      <c r="N302" s="35"/>
    </row>
    <row r="303" spans="14:14" x14ac:dyDescent="0.4">
      <c r="N303" s="35"/>
    </row>
    <row r="304" spans="14:14" x14ac:dyDescent="0.4">
      <c r="N304" s="35"/>
    </row>
    <row r="305" spans="14:14" x14ac:dyDescent="0.4">
      <c r="N305" s="35"/>
    </row>
    <row r="306" spans="14:14" x14ac:dyDescent="0.4">
      <c r="N306" s="35"/>
    </row>
    <row r="307" spans="14:14" x14ac:dyDescent="0.4">
      <c r="N307" s="35"/>
    </row>
    <row r="308" spans="14:14" x14ac:dyDescent="0.4">
      <c r="N308" s="35"/>
    </row>
    <row r="309" spans="14:14" x14ac:dyDescent="0.4">
      <c r="N309" s="35"/>
    </row>
    <row r="310" spans="14:14" x14ac:dyDescent="0.4">
      <c r="N310" s="35"/>
    </row>
    <row r="311" spans="14:14" x14ac:dyDescent="0.4">
      <c r="N311" s="35"/>
    </row>
    <row r="312" spans="14:14" x14ac:dyDescent="0.4">
      <c r="N312" s="35"/>
    </row>
    <row r="313" spans="14:14" x14ac:dyDescent="0.4">
      <c r="N313" s="35"/>
    </row>
    <row r="314" spans="14:14" x14ac:dyDescent="0.4">
      <c r="N314" s="35"/>
    </row>
    <row r="315" spans="14:14" x14ac:dyDescent="0.4">
      <c r="N315" s="35"/>
    </row>
    <row r="316" spans="14:14" x14ac:dyDescent="0.4">
      <c r="N316" s="35"/>
    </row>
    <row r="317" spans="14:14" x14ac:dyDescent="0.4">
      <c r="N317" s="35"/>
    </row>
    <row r="318" spans="14:14" x14ac:dyDescent="0.4">
      <c r="N318" s="35"/>
    </row>
    <row r="319" spans="14:14" x14ac:dyDescent="0.4">
      <c r="N319" s="35"/>
    </row>
    <row r="320" spans="14:14" x14ac:dyDescent="0.4">
      <c r="N320" s="35"/>
    </row>
    <row r="321" spans="14:14" x14ac:dyDescent="0.4">
      <c r="N321" s="35"/>
    </row>
    <row r="322" spans="14:14" x14ac:dyDescent="0.4">
      <c r="N322" s="35"/>
    </row>
    <row r="323" spans="14:14" x14ac:dyDescent="0.4">
      <c r="N323" s="35"/>
    </row>
    <row r="324" spans="14:14" x14ac:dyDescent="0.4">
      <c r="N324" s="35"/>
    </row>
    <row r="325" spans="14:14" x14ac:dyDescent="0.4">
      <c r="N325" s="35"/>
    </row>
    <row r="326" spans="14:14" x14ac:dyDescent="0.4">
      <c r="N326" s="35"/>
    </row>
    <row r="327" spans="14:14" x14ac:dyDescent="0.4">
      <c r="N327" s="35"/>
    </row>
    <row r="328" spans="14:14" x14ac:dyDescent="0.4">
      <c r="N328" s="35"/>
    </row>
    <row r="329" spans="14:14" x14ac:dyDescent="0.4">
      <c r="N329" s="35"/>
    </row>
    <row r="330" spans="14:14" x14ac:dyDescent="0.4">
      <c r="N330" s="35"/>
    </row>
    <row r="331" spans="14:14" x14ac:dyDescent="0.4">
      <c r="N331" s="35"/>
    </row>
    <row r="332" spans="14:14" x14ac:dyDescent="0.4">
      <c r="N332" s="35"/>
    </row>
    <row r="333" spans="14:14" x14ac:dyDescent="0.4">
      <c r="N333" s="35"/>
    </row>
    <row r="334" spans="14:14" x14ac:dyDescent="0.4">
      <c r="N334" s="35"/>
    </row>
    <row r="335" spans="14:14" x14ac:dyDescent="0.4">
      <c r="N335" s="35"/>
    </row>
    <row r="336" spans="14:14" x14ac:dyDescent="0.4">
      <c r="N336" s="35"/>
    </row>
    <row r="337" spans="14:14" x14ac:dyDescent="0.4">
      <c r="N337" s="35"/>
    </row>
    <row r="338" spans="14:14" x14ac:dyDescent="0.4">
      <c r="N338" s="35"/>
    </row>
    <row r="339" spans="14:14" x14ac:dyDescent="0.4">
      <c r="N339" s="35"/>
    </row>
    <row r="340" spans="14:14" x14ac:dyDescent="0.4">
      <c r="N340" s="35"/>
    </row>
    <row r="341" spans="14:14" x14ac:dyDescent="0.4">
      <c r="N341" s="35"/>
    </row>
    <row r="342" spans="14:14" x14ac:dyDescent="0.4">
      <c r="N342" s="35"/>
    </row>
    <row r="343" spans="14:14" x14ac:dyDescent="0.4">
      <c r="N343" s="35"/>
    </row>
    <row r="344" spans="14:14" x14ac:dyDescent="0.4">
      <c r="N344" s="35"/>
    </row>
    <row r="345" spans="14:14" x14ac:dyDescent="0.4">
      <c r="N345" s="35"/>
    </row>
    <row r="346" spans="14:14" x14ac:dyDescent="0.4">
      <c r="N346" s="35"/>
    </row>
    <row r="347" spans="14:14" x14ac:dyDescent="0.4">
      <c r="N347" s="35"/>
    </row>
    <row r="348" spans="14:14" x14ac:dyDescent="0.4">
      <c r="N348" s="35"/>
    </row>
    <row r="349" spans="14:14" x14ac:dyDescent="0.4">
      <c r="N349" s="35"/>
    </row>
    <row r="350" spans="14:14" x14ac:dyDescent="0.4">
      <c r="N350" s="35"/>
    </row>
    <row r="351" spans="14:14" x14ac:dyDescent="0.4">
      <c r="N351" s="35"/>
    </row>
    <row r="352" spans="14:14" x14ac:dyDescent="0.4">
      <c r="N352" s="35"/>
    </row>
    <row r="353" spans="14:14" x14ac:dyDescent="0.4">
      <c r="N353" s="35"/>
    </row>
    <row r="354" spans="14:14" x14ac:dyDescent="0.4">
      <c r="N354" s="35"/>
    </row>
    <row r="355" spans="14:14" x14ac:dyDescent="0.4">
      <c r="N355" s="35"/>
    </row>
    <row r="356" spans="14:14" x14ac:dyDescent="0.4">
      <c r="N356" s="35"/>
    </row>
    <row r="357" spans="14:14" x14ac:dyDescent="0.4">
      <c r="N357" s="35"/>
    </row>
    <row r="358" spans="14:14" x14ac:dyDescent="0.4">
      <c r="N358" s="35"/>
    </row>
    <row r="359" spans="14:14" x14ac:dyDescent="0.4">
      <c r="N359" s="35"/>
    </row>
    <row r="360" spans="14:14" x14ac:dyDescent="0.4">
      <c r="N360" s="35"/>
    </row>
    <row r="361" spans="14:14" x14ac:dyDescent="0.4">
      <c r="N361" s="35"/>
    </row>
    <row r="362" spans="14:14" x14ac:dyDescent="0.4">
      <c r="N362" s="35"/>
    </row>
    <row r="363" spans="14:14" x14ac:dyDescent="0.4">
      <c r="N363" s="35"/>
    </row>
    <row r="364" spans="14:14" x14ac:dyDescent="0.4">
      <c r="N364" s="35"/>
    </row>
    <row r="365" spans="14:14" x14ac:dyDescent="0.4">
      <c r="N365" s="35"/>
    </row>
    <row r="366" spans="14:14" x14ac:dyDescent="0.4">
      <c r="N366" s="35"/>
    </row>
    <row r="367" spans="14:14" x14ac:dyDescent="0.4">
      <c r="N367" s="35"/>
    </row>
    <row r="368" spans="14:14" x14ac:dyDescent="0.4">
      <c r="N368" s="35"/>
    </row>
    <row r="369" spans="14:14" x14ac:dyDescent="0.4">
      <c r="N369" s="35"/>
    </row>
    <row r="370" spans="14:14" x14ac:dyDescent="0.4">
      <c r="N370" s="35"/>
    </row>
    <row r="371" spans="14:14" x14ac:dyDescent="0.4">
      <c r="N371" s="35"/>
    </row>
    <row r="372" spans="14:14" x14ac:dyDescent="0.4">
      <c r="N372" s="35"/>
    </row>
    <row r="373" spans="14:14" x14ac:dyDescent="0.4">
      <c r="N373" s="35"/>
    </row>
    <row r="374" spans="14:14" x14ac:dyDescent="0.4">
      <c r="N374" s="35"/>
    </row>
    <row r="375" spans="14:14" x14ac:dyDescent="0.4">
      <c r="N375" s="35"/>
    </row>
    <row r="376" spans="14:14" x14ac:dyDescent="0.4">
      <c r="N376" s="35"/>
    </row>
    <row r="377" spans="14:14" x14ac:dyDescent="0.4">
      <c r="N377" s="35"/>
    </row>
    <row r="378" spans="14:14" x14ac:dyDescent="0.4">
      <c r="N378" s="35"/>
    </row>
    <row r="379" spans="14:14" x14ac:dyDescent="0.4">
      <c r="N379" s="35"/>
    </row>
    <row r="380" spans="14:14" x14ac:dyDescent="0.4">
      <c r="N380" s="35"/>
    </row>
    <row r="381" spans="14:14" x14ac:dyDescent="0.4">
      <c r="N381" s="35"/>
    </row>
    <row r="382" spans="14:14" x14ac:dyDescent="0.4">
      <c r="N382" s="35"/>
    </row>
    <row r="383" spans="14:14" x14ac:dyDescent="0.4">
      <c r="N383" s="35"/>
    </row>
    <row r="384" spans="14:14" x14ac:dyDescent="0.4">
      <c r="N384" s="35"/>
    </row>
    <row r="385" spans="14:14" x14ac:dyDescent="0.4">
      <c r="N385" s="35"/>
    </row>
    <row r="386" spans="14:14" x14ac:dyDescent="0.4">
      <c r="N386" s="35"/>
    </row>
    <row r="387" spans="14:14" x14ac:dyDescent="0.4">
      <c r="N387" s="35"/>
    </row>
    <row r="388" spans="14:14" x14ac:dyDescent="0.4">
      <c r="N388" s="35"/>
    </row>
    <row r="389" spans="14:14" x14ac:dyDescent="0.4">
      <c r="N389" s="35"/>
    </row>
    <row r="390" spans="14:14" x14ac:dyDescent="0.4">
      <c r="N390" s="35"/>
    </row>
    <row r="391" spans="14:14" x14ac:dyDescent="0.4">
      <c r="N391" s="35"/>
    </row>
    <row r="392" spans="14:14" x14ac:dyDescent="0.4">
      <c r="N392" s="35"/>
    </row>
    <row r="393" spans="14:14" x14ac:dyDescent="0.4">
      <c r="N393" s="35"/>
    </row>
    <row r="394" spans="14:14" x14ac:dyDescent="0.4">
      <c r="N394" s="35"/>
    </row>
    <row r="395" spans="14:14" x14ac:dyDescent="0.4">
      <c r="N395" s="35"/>
    </row>
    <row r="396" spans="14:14" x14ac:dyDescent="0.4">
      <c r="N396" s="35"/>
    </row>
    <row r="397" spans="14:14" x14ac:dyDescent="0.4">
      <c r="N397" s="35"/>
    </row>
    <row r="398" spans="14:14" x14ac:dyDescent="0.4">
      <c r="N398" s="35"/>
    </row>
    <row r="399" spans="14:14" x14ac:dyDescent="0.4">
      <c r="N399" s="35"/>
    </row>
    <row r="400" spans="14:14" x14ac:dyDescent="0.4">
      <c r="N400" s="35"/>
    </row>
    <row r="401" spans="14:14" x14ac:dyDescent="0.4">
      <c r="N401" s="35"/>
    </row>
    <row r="402" spans="14:14" x14ac:dyDescent="0.4">
      <c r="N402" s="35"/>
    </row>
    <row r="403" spans="14:14" x14ac:dyDescent="0.4">
      <c r="N403" s="35"/>
    </row>
    <row r="404" spans="14:14" x14ac:dyDescent="0.4">
      <c r="N404" s="35"/>
    </row>
    <row r="405" spans="14:14" x14ac:dyDescent="0.4">
      <c r="N405" s="35"/>
    </row>
    <row r="406" spans="14:14" x14ac:dyDescent="0.4">
      <c r="N406" s="35"/>
    </row>
    <row r="407" spans="14:14" x14ac:dyDescent="0.4">
      <c r="N407" s="35"/>
    </row>
    <row r="408" spans="14:14" x14ac:dyDescent="0.4">
      <c r="N408" s="35"/>
    </row>
    <row r="409" spans="14:14" x14ac:dyDescent="0.4">
      <c r="N409" s="35"/>
    </row>
    <row r="410" spans="14:14" x14ac:dyDescent="0.4">
      <c r="N410" s="35"/>
    </row>
    <row r="411" spans="14:14" x14ac:dyDescent="0.4">
      <c r="N411" s="35"/>
    </row>
    <row r="412" spans="14:14" x14ac:dyDescent="0.4">
      <c r="N412" s="35"/>
    </row>
    <row r="413" spans="14:14" x14ac:dyDescent="0.4">
      <c r="N413" s="35"/>
    </row>
    <row r="414" spans="14:14" x14ac:dyDescent="0.4">
      <c r="N414" s="35"/>
    </row>
    <row r="415" spans="14:14" x14ac:dyDescent="0.4">
      <c r="N415" s="35"/>
    </row>
    <row r="416" spans="14:14" x14ac:dyDescent="0.4">
      <c r="N416" s="35"/>
    </row>
    <row r="417" spans="14:14" x14ac:dyDescent="0.4">
      <c r="N417" s="35"/>
    </row>
    <row r="418" spans="14:14" x14ac:dyDescent="0.4">
      <c r="N418" s="35"/>
    </row>
    <row r="419" spans="14:14" x14ac:dyDescent="0.4">
      <c r="N419" s="35"/>
    </row>
    <row r="420" spans="14:14" x14ac:dyDescent="0.4">
      <c r="N420" s="35"/>
    </row>
    <row r="421" spans="14:14" x14ac:dyDescent="0.4">
      <c r="N421" s="35"/>
    </row>
    <row r="422" spans="14:14" x14ac:dyDescent="0.4">
      <c r="N422" s="35"/>
    </row>
    <row r="423" spans="14:14" x14ac:dyDescent="0.4">
      <c r="N423" s="35"/>
    </row>
    <row r="424" spans="14:14" x14ac:dyDescent="0.4">
      <c r="N424" s="35"/>
    </row>
    <row r="425" spans="14:14" x14ac:dyDescent="0.4">
      <c r="N425" s="35"/>
    </row>
    <row r="426" spans="14:14" x14ac:dyDescent="0.4">
      <c r="N426" s="35"/>
    </row>
    <row r="427" spans="14:14" x14ac:dyDescent="0.4">
      <c r="N427" s="35"/>
    </row>
    <row r="428" spans="14:14" x14ac:dyDescent="0.4">
      <c r="N428" s="35"/>
    </row>
    <row r="429" spans="14:14" x14ac:dyDescent="0.4">
      <c r="N429" s="35"/>
    </row>
    <row r="430" spans="14:14" x14ac:dyDescent="0.4">
      <c r="N430" s="35"/>
    </row>
    <row r="431" spans="14:14" x14ac:dyDescent="0.4">
      <c r="N431" s="35"/>
    </row>
    <row r="432" spans="14:14" x14ac:dyDescent="0.4">
      <c r="N432" s="35"/>
    </row>
    <row r="433" spans="14:14" x14ac:dyDescent="0.4">
      <c r="N433" s="35"/>
    </row>
    <row r="434" spans="14:14" x14ac:dyDescent="0.4">
      <c r="N434" s="35"/>
    </row>
    <row r="435" spans="14:14" x14ac:dyDescent="0.4">
      <c r="N435" s="35"/>
    </row>
    <row r="436" spans="14:14" x14ac:dyDescent="0.4">
      <c r="N436" s="35"/>
    </row>
    <row r="437" spans="14:14" x14ac:dyDescent="0.4">
      <c r="N437" s="35"/>
    </row>
    <row r="438" spans="14:14" x14ac:dyDescent="0.4">
      <c r="N438" s="35"/>
    </row>
    <row r="439" spans="14:14" x14ac:dyDescent="0.4">
      <c r="N439" s="35"/>
    </row>
    <row r="440" spans="14:14" x14ac:dyDescent="0.4">
      <c r="N440" s="35"/>
    </row>
    <row r="441" spans="14:14" x14ac:dyDescent="0.4">
      <c r="N441" s="35"/>
    </row>
    <row r="442" spans="14:14" x14ac:dyDescent="0.4">
      <c r="N442" s="35"/>
    </row>
    <row r="443" spans="14:14" x14ac:dyDescent="0.4">
      <c r="N443" s="35"/>
    </row>
    <row r="444" spans="14:14" x14ac:dyDescent="0.4">
      <c r="N444" s="35"/>
    </row>
    <row r="445" spans="14:14" x14ac:dyDescent="0.4">
      <c r="N445" s="35"/>
    </row>
    <row r="446" spans="14:14" x14ac:dyDescent="0.4">
      <c r="N446" s="35"/>
    </row>
    <row r="447" spans="14:14" x14ac:dyDescent="0.4">
      <c r="N447" s="35"/>
    </row>
    <row r="448" spans="14:14" x14ac:dyDescent="0.4">
      <c r="N448" s="35"/>
    </row>
    <row r="449" spans="14:14" x14ac:dyDescent="0.4">
      <c r="N449" s="35"/>
    </row>
    <row r="450" spans="14:14" x14ac:dyDescent="0.4">
      <c r="N450" s="35"/>
    </row>
    <row r="451" spans="14:14" x14ac:dyDescent="0.4">
      <c r="N451" s="35"/>
    </row>
    <row r="452" spans="14:14" x14ac:dyDescent="0.4">
      <c r="N452" s="35"/>
    </row>
    <row r="453" spans="14:14" x14ac:dyDescent="0.4">
      <c r="N453" s="35"/>
    </row>
    <row r="454" spans="14:14" x14ac:dyDescent="0.4">
      <c r="N454" s="35"/>
    </row>
    <row r="455" spans="14:14" x14ac:dyDescent="0.4">
      <c r="N455" s="35"/>
    </row>
    <row r="456" spans="14:14" x14ac:dyDescent="0.4">
      <c r="N456" s="35"/>
    </row>
    <row r="457" spans="14:14" x14ac:dyDescent="0.4">
      <c r="N457" s="35"/>
    </row>
    <row r="458" spans="14:14" x14ac:dyDescent="0.4">
      <c r="N458" s="35"/>
    </row>
    <row r="459" spans="14:14" x14ac:dyDescent="0.4">
      <c r="N459" s="35"/>
    </row>
    <row r="460" spans="14:14" x14ac:dyDescent="0.4">
      <c r="N460" s="35"/>
    </row>
    <row r="461" spans="14:14" x14ac:dyDescent="0.4">
      <c r="N461" s="35"/>
    </row>
    <row r="462" spans="14:14" x14ac:dyDescent="0.4">
      <c r="N462" s="35"/>
    </row>
    <row r="463" spans="14:14" x14ac:dyDescent="0.4">
      <c r="N463" s="35"/>
    </row>
    <row r="464" spans="14:14" x14ac:dyDescent="0.4">
      <c r="N464" s="35"/>
    </row>
    <row r="465" spans="14:14" x14ac:dyDescent="0.4">
      <c r="N465" s="35"/>
    </row>
    <row r="466" spans="14:14" x14ac:dyDescent="0.4">
      <c r="N466" s="35"/>
    </row>
    <row r="467" spans="14:14" x14ac:dyDescent="0.4">
      <c r="N467" s="35"/>
    </row>
    <row r="468" spans="14:14" x14ac:dyDescent="0.4">
      <c r="N468" s="35"/>
    </row>
    <row r="469" spans="14:14" x14ac:dyDescent="0.4">
      <c r="N469" s="35"/>
    </row>
    <row r="470" spans="14:14" x14ac:dyDescent="0.4">
      <c r="N470" s="35"/>
    </row>
    <row r="471" spans="14:14" x14ac:dyDescent="0.4">
      <c r="N471" s="35"/>
    </row>
    <row r="472" spans="14:14" x14ac:dyDescent="0.4">
      <c r="N472" s="35"/>
    </row>
    <row r="473" spans="14:14" x14ac:dyDescent="0.4">
      <c r="N473" s="35"/>
    </row>
    <row r="474" spans="14:14" x14ac:dyDescent="0.4">
      <c r="N474" s="35"/>
    </row>
    <row r="475" spans="14:14" x14ac:dyDescent="0.4">
      <c r="N475" s="35"/>
    </row>
    <row r="476" spans="14:14" x14ac:dyDescent="0.4">
      <c r="N476" s="35"/>
    </row>
    <row r="477" spans="14:14" x14ac:dyDescent="0.4">
      <c r="N477" s="35"/>
    </row>
    <row r="478" spans="14:14" x14ac:dyDescent="0.4">
      <c r="N478" s="35"/>
    </row>
    <row r="479" spans="14:14" x14ac:dyDescent="0.4">
      <c r="N479" s="35"/>
    </row>
    <row r="480" spans="14:14" x14ac:dyDescent="0.4">
      <c r="N480" s="35"/>
    </row>
    <row r="481" spans="14:14" x14ac:dyDescent="0.4">
      <c r="N481" s="35"/>
    </row>
    <row r="482" spans="14:14" x14ac:dyDescent="0.4">
      <c r="N482" s="35"/>
    </row>
    <row r="483" spans="14:14" x14ac:dyDescent="0.4">
      <c r="N483" s="35"/>
    </row>
    <row r="484" spans="14:14" x14ac:dyDescent="0.4">
      <c r="N484" s="35"/>
    </row>
    <row r="485" spans="14:14" x14ac:dyDescent="0.4">
      <c r="N485" s="35"/>
    </row>
    <row r="486" spans="14:14" x14ac:dyDescent="0.4">
      <c r="N486" s="35"/>
    </row>
    <row r="487" spans="14:14" x14ac:dyDescent="0.4">
      <c r="N487" s="35"/>
    </row>
    <row r="488" spans="14:14" x14ac:dyDescent="0.4">
      <c r="N488" s="35"/>
    </row>
    <row r="489" spans="14:14" x14ac:dyDescent="0.4">
      <c r="N489" s="35"/>
    </row>
    <row r="490" spans="14:14" x14ac:dyDescent="0.4">
      <c r="N490" s="35"/>
    </row>
    <row r="491" spans="14:14" x14ac:dyDescent="0.4">
      <c r="N491" s="35"/>
    </row>
    <row r="492" spans="14:14" x14ac:dyDescent="0.4">
      <c r="N492" s="35"/>
    </row>
    <row r="493" spans="14:14" x14ac:dyDescent="0.4">
      <c r="N493" s="35"/>
    </row>
    <row r="494" spans="14:14" x14ac:dyDescent="0.4">
      <c r="N494" s="35"/>
    </row>
    <row r="495" spans="14:14" x14ac:dyDescent="0.4">
      <c r="N495" s="35"/>
    </row>
    <row r="496" spans="14:14" x14ac:dyDescent="0.4">
      <c r="N496" s="35"/>
    </row>
    <row r="497" spans="14:14" x14ac:dyDescent="0.4">
      <c r="N497" s="35"/>
    </row>
    <row r="498" spans="14:14" x14ac:dyDescent="0.4">
      <c r="N498" s="35"/>
    </row>
    <row r="499" spans="14:14" x14ac:dyDescent="0.4">
      <c r="N499" s="35"/>
    </row>
    <row r="500" spans="14:14" x14ac:dyDescent="0.4">
      <c r="N500" s="35"/>
    </row>
    <row r="501" spans="14:14" x14ac:dyDescent="0.4">
      <c r="N501" s="35"/>
    </row>
    <row r="502" spans="14:14" x14ac:dyDescent="0.4">
      <c r="N502" s="35"/>
    </row>
    <row r="503" spans="14:14" x14ac:dyDescent="0.4">
      <c r="N503" s="35"/>
    </row>
    <row r="504" spans="14:14" x14ac:dyDescent="0.4">
      <c r="N504" s="35"/>
    </row>
    <row r="505" spans="14:14" x14ac:dyDescent="0.4">
      <c r="N505" s="35"/>
    </row>
    <row r="506" spans="14:14" x14ac:dyDescent="0.4">
      <c r="N506" s="35"/>
    </row>
    <row r="507" spans="14:14" x14ac:dyDescent="0.4">
      <c r="N507" s="35"/>
    </row>
    <row r="508" spans="14:14" x14ac:dyDescent="0.4">
      <c r="N508" s="35"/>
    </row>
    <row r="509" spans="14:14" x14ac:dyDescent="0.4">
      <c r="N509" s="35"/>
    </row>
    <row r="510" spans="14:14" x14ac:dyDescent="0.4">
      <c r="N510" s="35"/>
    </row>
    <row r="511" spans="14:14" x14ac:dyDescent="0.4">
      <c r="N511" s="35"/>
    </row>
    <row r="512" spans="14:14" x14ac:dyDescent="0.4">
      <c r="N512" s="35"/>
    </row>
    <row r="513" spans="14:14" x14ac:dyDescent="0.4">
      <c r="N513" s="35"/>
    </row>
    <row r="514" spans="14:14" x14ac:dyDescent="0.4">
      <c r="N514" s="35"/>
    </row>
    <row r="515" spans="14:14" x14ac:dyDescent="0.4">
      <c r="N515" s="35"/>
    </row>
    <row r="516" spans="14:14" x14ac:dyDescent="0.4">
      <c r="N516" s="35"/>
    </row>
    <row r="517" spans="14:14" x14ac:dyDescent="0.4">
      <c r="N517" s="35"/>
    </row>
    <row r="518" spans="14:14" x14ac:dyDescent="0.4">
      <c r="N518" s="35"/>
    </row>
    <row r="519" spans="14:14" x14ac:dyDescent="0.4">
      <c r="N519" s="35"/>
    </row>
    <row r="520" spans="14:14" x14ac:dyDescent="0.4">
      <c r="N520" s="35"/>
    </row>
    <row r="521" spans="14:14" x14ac:dyDescent="0.4">
      <c r="N521" s="35"/>
    </row>
    <row r="522" spans="14:14" x14ac:dyDescent="0.4">
      <c r="N522" s="35"/>
    </row>
    <row r="523" spans="14:14" x14ac:dyDescent="0.4">
      <c r="N523" s="35"/>
    </row>
    <row r="524" spans="14:14" x14ac:dyDescent="0.4">
      <c r="N524" s="35"/>
    </row>
    <row r="525" spans="14:14" x14ac:dyDescent="0.4">
      <c r="N525" s="35"/>
    </row>
    <row r="526" spans="14:14" x14ac:dyDescent="0.4">
      <c r="N526" s="35"/>
    </row>
    <row r="527" spans="14:14" x14ac:dyDescent="0.4">
      <c r="N527" s="35"/>
    </row>
    <row r="528" spans="14:14" x14ac:dyDescent="0.4">
      <c r="N528" s="35"/>
    </row>
    <row r="529" spans="14:14" x14ac:dyDescent="0.4">
      <c r="N529" s="35"/>
    </row>
    <row r="530" spans="14:14" x14ac:dyDescent="0.4">
      <c r="N530" s="35"/>
    </row>
    <row r="531" spans="14:14" x14ac:dyDescent="0.4">
      <c r="N531" s="35"/>
    </row>
    <row r="532" spans="14:14" x14ac:dyDescent="0.4">
      <c r="N532" s="35"/>
    </row>
    <row r="533" spans="14:14" x14ac:dyDescent="0.4">
      <c r="N533" s="35"/>
    </row>
    <row r="534" spans="14:14" x14ac:dyDescent="0.4">
      <c r="N534" s="35"/>
    </row>
    <row r="535" spans="14:14" x14ac:dyDescent="0.4">
      <c r="N535" s="35"/>
    </row>
    <row r="536" spans="14:14" x14ac:dyDescent="0.4">
      <c r="N536" s="35"/>
    </row>
    <row r="537" spans="14:14" x14ac:dyDescent="0.4">
      <c r="N537" s="35"/>
    </row>
    <row r="538" spans="14:14" x14ac:dyDescent="0.4">
      <c r="N538" s="35"/>
    </row>
    <row r="539" spans="14:14" x14ac:dyDescent="0.4">
      <c r="N539" s="35"/>
    </row>
    <row r="540" spans="14:14" x14ac:dyDescent="0.4">
      <c r="N540" s="35"/>
    </row>
    <row r="541" spans="14:14" x14ac:dyDescent="0.4">
      <c r="N541" s="35"/>
    </row>
    <row r="542" spans="14:14" x14ac:dyDescent="0.4">
      <c r="N542" s="35"/>
    </row>
    <row r="543" spans="14:14" x14ac:dyDescent="0.4">
      <c r="N543" s="35"/>
    </row>
    <row r="544" spans="14:14" x14ac:dyDescent="0.4">
      <c r="N544" s="35"/>
    </row>
    <row r="545" spans="14:14" x14ac:dyDescent="0.4">
      <c r="N545" s="35"/>
    </row>
    <row r="546" spans="14:14" x14ac:dyDescent="0.4">
      <c r="N546" s="35"/>
    </row>
    <row r="547" spans="14:14" x14ac:dyDescent="0.4">
      <c r="N547" s="35"/>
    </row>
    <row r="548" spans="14:14" x14ac:dyDescent="0.4">
      <c r="N548" s="35"/>
    </row>
    <row r="549" spans="14:14" x14ac:dyDescent="0.4">
      <c r="N549" s="35"/>
    </row>
    <row r="550" spans="14:14" x14ac:dyDescent="0.4">
      <c r="N550" s="35"/>
    </row>
    <row r="551" spans="14:14" x14ac:dyDescent="0.4">
      <c r="N551" s="35"/>
    </row>
    <row r="552" spans="14:14" x14ac:dyDescent="0.4">
      <c r="N552" s="35"/>
    </row>
    <row r="553" spans="14:14" x14ac:dyDescent="0.4">
      <c r="N553" s="35"/>
    </row>
    <row r="554" spans="14:14" x14ac:dyDescent="0.4">
      <c r="N554" s="35"/>
    </row>
    <row r="555" spans="14:14" x14ac:dyDescent="0.4">
      <c r="N555" s="35"/>
    </row>
    <row r="556" spans="14:14" x14ac:dyDescent="0.4">
      <c r="N556" s="35"/>
    </row>
    <row r="557" spans="14:14" x14ac:dyDescent="0.4">
      <c r="N557" s="35"/>
    </row>
    <row r="558" spans="14:14" x14ac:dyDescent="0.4">
      <c r="N558" s="35"/>
    </row>
    <row r="559" spans="14:14" x14ac:dyDescent="0.4">
      <c r="N559" s="35"/>
    </row>
    <row r="560" spans="14:14" x14ac:dyDescent="0.4">
      <c r="N560" s="35"/>
    </row>
    <row r="561" spans="14:14" x14ac:dyDescent="0.4">
      <c r="N561" s="35"/>
    </row>
    <row r="562" spans="14:14" x14ac:dyDescent="0.4">
      <c r="N562" s="35"/>
    </row>
    <row r="563" spans="14:14" x14ac:dyDescent="0.4">
      <c r="N563" s="35"/>
    </row>
    <row r="564" spans="14:14" x14ac:dyDescent="0.4">
      <c r="N564" s="35"/>
    </row>
    <row r="565" spans="14:14" x14ac:dyDescent="0.4">
      <c r="N565" s="35"/>
    </row>
    <row r="566" spans="14:14" x14ac:dyDescent="0.4">
      <c r="N566" s="35"/>
    </row>
    <row r="567" spans="14:14" x14ac:dyDescent="0.4">
      <c r="N567" s="35"/>
    </row>
    <row r="568" spans="14:14" x14ac:dyDescent="0.4">
      <c r="N568" s="35"/>
    </row>
    <row r="569" spans="14:14" x14ac:dyDescent="0.4">
      <c r="N569" s="35"/>
    </row>
    <row r="570" spans="14:14" x14ac:dyDescent="0.4">
      <c r="N570" s="35"/>
    </row>
    <row r="571" spans="14:14" x14ac:dyDescent="0.4">
      <c r="N571" s="35"/>
    </row>
    <row r="572" spans="14:14" x14ac:dyDescent="0.4">
      <c r="N572" s="35"/>
    </row>
    <row r="573" spans="14:14" x14ac:dyDescent="0.4">
      <c r="N573" s="35"/>
    </row>
    <row r="574" spans="14:14" x14ac:dyDescent="0.4">
      <c r="N574" s="35"/>
    </row>
    <row r="575" spans="14:14" x14ac:dyDescent="0.4">
      <c r="N575" s="35"/>
    </row>
    <row r="576" spans="14:14" x14ac:dyDescent="0.4">
      <c r="N576" s="35"/>
    </row>
    <row r="577" spans="14:14" x14ac:dyDescent="0.4">
      <c r="N577" s="35"/>
    </row>
    <row r="578" spans="14:14" x14ac:dyDescent="0.4">
      <c r="N578" s="35"/>
    </row>
    <row r="579" spans="14:14" x14ac:dyDescent="0.4">
      <c r="N579" s="35"/>
    </row>
    <row r="580" spans="14:14" x14ac:dyDescent="0.4">
      <c r="N580" s="35"/>
    </row>
    <row r="581" spans="14:14" x14ac:dyDescent="0.4">
      <c r="N581" s="35"/>
    </row>
    <row r="582" spans="14:14" x14ac:dyDescent="0.4">
      <c r="N582" s="35"/>
    </row>
    <row r="583" spans="14:14" x14ac:dyDescent="0.4">
      <c r="N583" s="35"/>
    </row>
    <row r="584" spans="14:14" x14ac:dyDescent="0.4">
      <c r="N584" s="35"/>
    </row>
    <row r="585" spans="14:14" x14ac:dyDescent="0.4">
      <c r="N585" s="35"/>
    </row>
    <row r="586" spans="14:14" x14ac:dyDescent="0.4">
      <c r="N586" s="35"/>
    </row>
    <row r="587" spans="14:14" x14ac:dyDescent="0.4">
      <c r="N587" s="35"/>
    </row>
    <row r="588" spans="14:14" x14ac:dyDescent="0.4">
      <c r="N588" s="35"/>
    </row>
    <row r="589" spans="14:14" x14ac:dyDescent="0.4">
      <c r="N589" s="35"/>
    </row>
    <row r="590" spans="14:14" x14ac:dyDescent="0.4">
      <c r="N590" s="35"/>
    </row>
    <row r="591" spans="14:14" x14ac:dyDescent="0.4">
      <c r="N591" s="35"/>
    </row>
    <row r="592" spans="14:14" x14ac:dyDescent="0.4">
      <c r="N592" s="35"/>
    </row>
    <row r="593" spans="14:14" x14ac:dyDescent="0.4">
      <c r="N593" s="35"/>
    </row>
    <row r="594" spans="14:14" x14ac:dyDescent="0.4">
      <c r="N594" s="35"/>
    </row>
    <row r="595" spans="14:14" x14ac:dyDescent="0.4">
      <c r="N595" s="35"/>
    </row>
    <row r="596" spans="14:14" x14ac:dyDescent="0.4">
      <c r="N596" s="35"/>
    </row>
    <row r="597" spans="14:14" x14ac:dyDescent="0.4">
      <c r="N597" s="35"/>
    </row>
    <row r="598" spans="14:14" x14ac:dyDescent="0.4">
      <c r="N598" s="35"/>
    </row>
    <row r="599" spans="14:14" x14ac:dyDescent="0.4">
      <c r="N599" s="35"/>
    </row>
    <row r="600" spans="14:14" x14ac:dyDescent="0.4">
      <c r="N600" s="35"/>
    </row>
    <row r="601" spans="14:14" x14ac:dyDescent="0.4">
      <c r="N601" s="35"/>
    </row>
    <row r="602" spans="14:14" x14ac:dyDescent="0.4">
      <c r="N602" s="35"/>
    </row>
    <row r="603" spans="14:14" x14ac:dyDescent="0.4">
      <c r="N603" s="35"/>
    </row>
    <row r="604" spans="14:14" x14ac:dyDescent="0.4">
      <c r="N604" s="35"/>
    </row>
    <row r="605" spans="14:14" x14ac:dyDescent="0.4">
      <c r="N605" s="35"/>
    </row>
    <row r="606" spans="14:14" x14ac:dyDescent="0.4">
      <c r="N606" s="35"/>
    </row>
    <row r="607" spans="14:14" x14ac:dyDescent="0.4">
      <c r="N607" s="35"/>
    </row>
    <row r="608" spans="14:14" x14ac:dyDescent="0.4">
      <c r="N608" s="35"/>
    </row>
    <row r="609" spans="14:14" x14ac:dyDescent="0.4">
      <c r="N609" s="35"/>
    </row>
    <row r="610" spans="14:14" x14ac:dyDescent="0.4">
      <c r="N610" s="35"/>
    </row>
    <row r="611" spans="14:14" x14ac:dyDescent="0.4">
      <c r="N611" s="35"/>
    </row>
    <row r="612" spans="14:14" x14ac:dyDescent="0.4">
      <c r="N612" s="35"/>
    </row>
    <row r="613" spans="14:14" x14ac:dyDescent="0.4">
      <c r="N613" s="35"/>
    </row>
    <row r="614" spans="14:14" x14ac:dyDescent="0.4">
      <c r="N614" s="35"/>
    </row>
    <row r="615" spans="14:14" x14ac:dyDescent="0.4">
      <c r="N615" s="35"/>
    </row>
    <row r="616" spans="14:14" x14ac:dyDescent="0.4">
      <c r="N616" s="35"/>
    </row>
    <row r="617" spans="14:14" x14ac:dyDescent="0.4">
      <c r="N617" s="35"/>
    </row>
    <row r="618" spans="14:14" x14ac:dyDescent="0.4">
      <c r="N618" s="35"/>
    </row>
    <row r="619" spans="14:14" x14ac:dyDescent="0.4">
      <c r="N619" s="35"/>
    </row>
    <row r="620" spans="14:14" x14ac:dyDescent="0.4">
      <c r="N620" s="35"/>
    </row>
    <row r="621" spans="14:14" x14ac:dyDescent="0.4">
      <c r="N621" s="35"/>
    </row>
    <row r="622" spans="14:14" x14ac:dyDescent="0.4">
      <c r="N622" s="35"/>
    </row>
    <row r="623" spans="14:14" x14ac:dyDescent="0.4">
      <c r="N623" s="35"/>
    </row>
    <row r="624" spans="14:14" x14ac:dyDescent="0.4">
      <c r="N624" s="35"/>
    </row>
    <row r="625" spans="14:14" x14ac:dyDescent="0.4">
      <c r="N625" s="35"/>
    </row>
    <row r="626" spans="14:14" x14ac:dyDescent="0.4">
      <c r="N626" s="35"/>
    </row>
    <row r="627" spans="14:14" x14ac:dyDescent="0.4">
      <c r="N627" s="35"/>
    </row>
    <row r="628" spans="14:14" x14ac:dyDescent="0.4">
      <c r="N628" s="35"/>
    </row>
    <row r="629" spans="14:14" x14ac:dyDescent="0.4">
      <c r="N629" s="35"/>
    </row>
    <row r="630" spans="14:14" x14ac:dyDescent="0.4">
      <c r="N630" s="35"/>
    </row>
    <row r="631" spans="14:14" x14ac:dyDescent="0.4">
      <c r="N631" s="35"/>
    </row>
    <row r="632" spans="14:14" x14ac:dyDescent="0.4">
      <c r="N632" s="35"/>
    </row>
    <row r="633" spans="14:14" x14ac:dyDescent="0.4">
      <c r="N633" s="35"/>
    </row>
    <row r="634" spans="14:14" x14ac:dyDescent="0.4">
      <c r="N634" s="35"/>
    </row>
    <row r="635" spans="14:14" x14ac:dyDescent="0.4">
      <c r="N635" s="35"/>
    </row>
    <row r="636" spans="14:14" x14ac:dyDescent="0.4">
      <c r="N636" s="35"/>
    </row>
    <row r="637" spans="14:14" x14ac:dyDescent="0.4">
      <c r="N637" s="35"/>
    </row>
    <row r="638" spans="14:14" x14ac:dyDescent="0.4">
      <c r="N638" s="35"/>
    </row>
    <row r="639" spans="14:14" x14ac:dyDescent="0.4">
      <c r="N639" s="35"/>
    </row>
    <row r="640" spans="14:14" x14ac:dyDescent="0.4">
      <c r="N640" s="35"/>
    </row>
    <row r="641" spans="14:14" x14ac:dyDescent="0.4">
      <c r="N641" s="35"/>
    </row>
    <row r="642" spans="14:14" x14ac:dyDescent="0.4">
      <c r="N642" s="35"/>
    </row>
    <row r="643" spans="14:14" x14ac:dyDescent="0.4">
      <c r="N643" s="35"/>
    </row>
    <row r="644" spans="14:14" x14ac:dyDescent="0.4">
      <c r="N644" s="35"/>
    </row>
    <row r="645" spans="14:14" x14ac:dyDescent="0.4">
      <c r="N645" s="35"/>
    </row>
    <row r="646" spans="14:14" x14ac:dyDescent="0.4">
      <c r="N646" s="35"/>
    </row>
    <row r="647" spans="14:14" x14ac:dyDescent="0.4">
      <c r="N647" s="35"/>
    </row>
    <row r="648" spans="14:14" x14ac:dyDescent="0.4">
      <c r="N648" s="35"/>
    </row>
    <row r="649" spans="14:14" x14ac:dyDescent="0.4">
      <c r="N649" s="35"/>
    </row>
    <row r="650" spans="14:14" x14ac:dyDescent="0.4">
      <c r="N650" s="35"/>
    </row>
    <row r="651" spans="14:14" x14ac:dyDescent="0.4">
      <c r="N651" s="35"/>
    </row>
    <row r="652" spans="14:14" x14ac:dyDescent="0.4">
      <c r="N652" s="35"/>
    </row>
    <row r="653" spans="14:14" x14ac:dyDescent="0.4">
      <c r="N653" s="35"/>
    </row>
    <row r="654" spans="14:14" x14ac:dyDescent="0.4">
      <c r="N654" s="35"/>
    </row>
    <row r="655" spans="14:14" x14ac:dyDescent="0.4">
      <c r="N655" s="35"/>
    </row>
    <row r="656" spans="14:14" x14ac:dyDescent="0.4">
      <c r="N656" s="35"/>
    </row>
    <row r="657" spans="14:14" x14ac:dyDescent="0.4">
      <c r="N657" s="35"/>
    </row>
    <row r="658" spans="14:14" x14ac:dyDescent="0.4">
      <c r="N658" s="35"/>
    </row>
    <row r="659" spans="14:14" x14ac:dyDescent="0.4">
      <c r="N659" s="35"/>
    </row>
    <row r="660" spans="14:14" x14ac:dyDescent="0.4">
      <c r="N660" s="35"/>
    </row>
    <row r="661" spans="14:14" x14ac:dyDescent="0.4">
      <c r="N661" s="35"/>
    </row>
    <row r="662" spans="14:14" x14ac:dyDescent="0.4">
      <c r="N662" s="35"/>
    </row>
    <row r="663" spans="14:14" x14ac:dyDescent="0.4">
      <c r="N663" s="35"/>
    </row>
    <row r="664" spans="14:14" x14ac:dyDescent="0.4">
      <c r="N664" s="35"/>
    </row>
    <row r="665" spans="14:14" x14ac:dyDescent="0.4">
      <c r="N665" s="35"/>
    </row>
    <row r="666" spans="14:14" x14ac:dyDescent="0.4">
      <c r="N666" s="35"/>
    </row>
    <row r="667" spans="14:14" x14ac:dyDescent="0.4">
      <c r="N667" s="35"/>
    </row>
    <row r="668" spans="14:14" x14ac:dyDescent="0.4">
      <c r="N668" s="35"/>
    </row>
    <row r="669" spans="14:14" x14ac:dyDescent="0.4">
      <c r="N669" s="35"/>
    </row>
    <row r="670" spans="14:14" x14ac:dyDescent="0.4">
      <c r="N670" s="35"/>
    </row>
    <row r="671" spans="14:14" x14ac:dyDescent="0.4">
      <c r="N671" s="35"/>
    </row>
    <row r="672" spans="14:14" x14ac:dyDescent="0.4">
      <c r="N672" s="35"/>
    </row>
    <row r="673" spans="14:14" x14ac:dyDescent="0.4">
      <c r="N673" s="35"/>
    </row>
    <row r="674" spans="14:14" x14ac:dyDescent="0.4">
      <c r="N674" s="35"/>
    </row>
    <row r="675" spans="14:14" x14ac:dyDescent="0.4">
      <c r="N675" s="35"/>
    </row>
    <row r="676" spans="14:14" x14ac:dyDescent="0.4">
      <c r="N676" s="35"/>
    </row>
    <row r="677" spans="14:14" x14ac:dyDescent="0.4">
      <c r="N677" s="35"/>
    </row>
    <row r="678" spans="14:14" x14ac:dyDescent="0.4">
      <c r="N678" s="35"/>
    </row>
    <row r="679" spans="14:14" x14ac:dyDescent="0.4">
      <c r="N679" s="35"/>
    </row>
    <row r="680" spans="14:14" x14ac:dyDescent="0.4">
      <c r="N680" s="35"/>
    </row>
    <row r="681" spans="14:14" x14ac:dyDescent="0.4">
      <c r="N681" s="35"/>
    </row>
    <row r="682" spans="14:14" x14ac:dyDescent="0.4">
      <c r="N682" s="35"/>
    </row>
    <row r="683" spans="14:14" x14ac:dyDescent="0.4">
      <c r="N683" s="35"/>
    </row>
    <row r="684" spans="14:14" x14ac:dyDescent="0.4">
      <c r="N684" s="35"/>
    </row>
    <row r="685" spans="14:14" x14ac:dyDescent="0.4">
      <c r="N685" s="35"/>
    </row>
    <row r="686" spans="14:14" x14ac:dyDescent="0.4">
      <c r="N686" s="35"/>
    </row>
    <row r="687" spans="14:14" x14ac:dyDescent="0.4">
      <c r="N687" s="35"/>
    </row>
    <row r="688" spans="14:14" x14ac:dyDescent="0.4">
      <c r="N688" s="35"/>
    </row>
    <row r="689" spans="14:14" x14ac:dyDescent="0.4">
      <c r="N689" s="35"/>
    </row>
    <row r="690" spans="14:14" x14ac:dyDescent="0.4">
      <c r="N690" s="35"/>
    </row>
    <row r="691" spans="14:14" x14ac:dyDescent="0.4">
      <c r="N691" s="35"/>
    </row>
    <row r="692" spans="14:14" x14ac:dyDescent="0.4">
      <c r="N692" s="35"/>
    </row>
    <row r="693" spans="14:14" x14ac:dyDescent="0.4">
      <c r="N693" s="35"/>
    </row>
    <row r="694" spans="14:14" x14ac:dyDescent="0.4">
      <c r="N694" s="35"/>
    </row>
    <row r="695" spans="14:14" x14ac:dyDescent="0.4">
      <c r="N695" s="35"/>
    </row>
    <row r="696" spans="14:14" x14ac:dyDescent="0.4">
      <c r="N696" s="35"/>
    </row>
    <row r="697" spans="14:14" x14ac:dyDescent="0.4">
      <c r="N697" s="35"/>
    </row>
    <row r="698" spans="14:14" x14ac:dyDescent="0.4">
      <c r="N698" s="35"/>
    </row>
    <row r="699" spans="14:14" x14ac:dyDescent="0.4">
      <c r="N699" s="35"/>
    </row>
    <row r="700" spans="14:14" x14ac:dyDescent="0.4">
      <c r="N700" s="35"/>
    </row>
    <row r="701" spans="14:14" x14ac:dyDescent="0.4">
      <c r="N701" s="35"/>
    </row>
    <row r="702" spans="14:14" x14ac:dyDescent="0.4">
      <c r="N702" s="35"/>
    </row>
    <row r="703" spans="14:14" x14ac:dyDescent="0.4">
      <c r="N703" s="35"/>
    </row>
    <row r="704" spans="14:14" x14ac:dyDescent="0.4">
      <c r="N704" s="35"/>
    </row>
    <row r="705" spans="14:14" x14ac:dyDescent="0.4">
      <c r="N705" s="35"/>
    </row>
    <row r="706" spans="14:14" x14ac:dyDescent="0.4">
      <c r="N706" s="35"/>
    </row>
    <row r="707" spans="14:14" x14ac:dyDescent="0.4">
      <c r="N707" s="35"/>
    </row>
    <row r="708" spans="14:14" x14ac:dyDescent="0.4">
      <c r="N708" s="35"/>
    </row>
    <row r="709" spans="14:14" x14ac:dyDescent="0.4">
      <c r="N709" s="35"/>
    </row>
    <row r="710" spans="14:14" x14ac:dyDescent="0.4">
      <c r="N710" s="35"/>
    </row>
    <row r="711" spans="14:14" x14ac:dyDescent="0.4">
      <c r="N711" s="35"/>
    </row>
    <row r="712" spans="14:14" x14ac:dyDescent="0.4">
      <c r="N712" s="35"/>
    </row>
    <row r="713" spans="14:14" x14ac:dyDescent="0.4">
      <c r="N713" s="35"/>
    </row>
    <row r="714" spans="14:14" x14ac:dyDescent="0.4">
      <c r="N714" s="35"/>
    </row>
    <row r="715" spans="14:14" x14ac:dyDescent="0.4">
      <c r="N715" s="35"/>
    </row>
    <row r="716" spans="14:14" x14ac:dyDescent="0.4">
      <c r="N716" s="35"/>
    </row>
    <row r="717" spans="14:14" x14ac:dyDescent="0.4">
      <c r="N717" s="35"/>
    </row>
    <row r="718" spans="14:14" x14ac:dyDescent="0.4">
      <c r="N718" s="35"/>
    </row>
    <row r="719" spans="14:14" x14ac:dyDescent="0.4">
      <c r="N719" s="35"/>
    </row>
    <row r="720" spans="14:14" x14ac:dyDescent="0.4">
      <c r="N720" s="35"/>
    </row>
    <row r="721" spans="14:14" x14ac:dyDescent="0.4">
      <c r="N721" s="35"/>
    </row>
    <row r="722" spans="14:14" x14ac:dyDescent="0.4">
      <c r="N722" s="35"/>
    </row>
    <row r="723" spans="14:14" x14ac:dyDescent="0.4">
      <c r="N723" s="35"/>
    </row>
    <row r="724" spans="14:14" x14ac:dyDescent="0.4">
      <c r="N724" s="35"/>
    </row>
    <row r="725" spans="14:14" x14ac:dyDescent="0.4">
      <c r="N725" s="35"/>
    </row>
    <row r="726" spans="14:14" x14ac:dyDescent="0.4">
      <c r="N726" s="35"/>
    </row>
    <row r="727" spans="14:14" x14ac:dyDescent="0.4">
      <c r="N727" s="35"/>
    </row>
    <row r="728" spans="14:14" x14ac:dyDescent="0.4">
      <c r="N728" s="35"/>
    </row>
    <row r="729" spans="14:14" x14ac:dyDescent="0.4">
      <c r="N729" s="35"/>
    </row>
    <row r="730" spans="14:14" x14ac:dyDescent="0.4">
      <c r="N730" s="35"/>
    </row>
    <row r="731" spans="14:14" x14ac:dyDescent="0.4">
      <c r="N731" s="35"/>
    </row>
    <row r="732" spans="14:14" x14ac:dyDescent="0.4">
      <c r="N732" s="35"/>
    </row>
    <row r="733" spans="14:14" x14ac:dyDescent="0.4">
      <c r="N733" s="35"/>
    </row>
    <row r="734" spans="14:14" x14ac:dyDescent="0.4">
      <c r="N734" s="35"/>
    </row>
    <row r="735" spans="14:14" x14ac:dyDescent="0.4">
      <c r="N735" s="35"/>
    </row>
    <row r="736" spans="14:14" x14ac:dyDescent="0.4">
      <c r="N736" s="35"/>
    </row>
    <row r="737" spans="14:14" x14ac:dyDescent="0.4">
      <c r="N737" s="35"/>
    </row>
    <row r="738" spans="14:14" x14ac:dyDescent="0.4">
      <c r="N738" s="35"/>
    </row>
    <row r="739" spans="14:14" x14ac:dyDescent="0.4">
      <c r="N739" s="35"/>
    </row>
    <row r="740" spans="14:14" x14ac:dyDescent="0.4">
      <c r="N740" s="35"/>
    </row>
    <row r="741" spans="14:14" x14ac:dyDescent="0.4">
      <c r="N741" s="35"/>
    </row>
    <row r="742" spans="14:14" x14ac:dyDescent="0.4">
      <c r="N742" s="35"/>
    </row>
    <row r="743" spans="14:14" x14ac:dyDescent="0.4">
      <c r="N743" s="35"/>
    </row>
    <row r="744" spans="14:14" x14ac:dyDescent="0.4">
      <c r="N744" s="35"/>
    </row>
    <row r="745" spans="14:14" x14ac:dyDescent="0.4">
      <c r="N745" s="35"/>
    </row>
    <row r="746" spans="14:14" x14ac:dyDescent="0.4">
      <c r="N746" s="35"/>
    </row>
    <row r="747" spans="14:14" x14ac:dyDescent="0.4">
      <c r="N747" s="35"/>
    </row>
    <row r="748" spans="14:14" x14ac:dyDescent="0.4">
      <c r="N748" s="35"/>
    </row>
    <row r="749" spans="14:14" x14ac:dyDescent="0.4">
      <c r="N749" s="35"/>
    </row>
    <row r="750" spans="14:14" x14ac:dyDescent="0.4">
      <c r="N750" s="35"/>
    </row>
    <row r="751" spans="14:14" x14ac:dyDescent="0.4">
      <c r="N751" s="35"/>
    </row>
    <row r="752" spans="14:14" x14ac:dyDescent="0.4">
      <c r="N752" s="35"/>
    </row>
    <row r="753" spans="14:14" x14ac:dyDescent="0.4">
      <c r="N753" s="35"/>
    </row>
    <row r="754" spans="14:14" x14ac:dyDescent="0.4">
      <c r="N754" s="35"/>
    </row>
    <row r="755" spans="14:14" x14ac:dyDescent="0.4">
      <c r="N755" s="35"/>
    </row>
    <row r="756" spans="14:14" x14ac:dyDescent="0.4">
      <c r="N756" s="35"/>
    </row>
    <row r="757" spans="14:14" x14ac:dyDescent="0.4">
      <c r="N757" s="35"/>
    </row>
    <row r="758" spans="14:14" x14ac:dyDescent="0.4">
      <c r="N758" s="35"/>
    </row>
    <row r="759" spans="14:14" x14ac:dyDescent="0.4">
      <c r="N759" s="35"/>
    </row>
    <row r="760" spans="14:14" x14ac:dyDescent="0.4">
      <c r="N760" s="35"/>
    </row>
    <row r="761" spans="14:14" x14ac:dyDescent="0.4">
      <c r="N761" s="35"/>
    </row>
    <row r="762" spans="14:14" x14ac:dyDescent="0.4">
      <c r="N762" s="35"/>
    </row>
    <row r="763" spans="14:14" x14ac:dyDescent="0.4">
      <c r="N763" s="35"/>
    </row>
    <row r="764" spans="14:14" x14ac:dyDescent="0.4">
      <c r="N764" s="35"/>
    </row>
    <row r="765" spans="14:14" x14ac:dyDescent="0.4">
      <c r="N765" s="35"/>
    </row>
    <row r="766" spans="14:14" x14ac:dyDescent="0.4">
      <c r="N766" s="35"/>
    </row>
    <row r="767" spans="14:14" x14ac:dyDescent="0.4">
      <c r="N767" s="35"/>
    </row>
    <row r="768" spans="14:14" x14ac:dyDescent="0.4">
      <c r="N768" s="35"/>
    </row>
    <row r="769" spans="14:14" x14ac:dyDescent="0.4">
      <c r="N769" s="35"/>
    </row>
    <row r="770" spans="14:14" x14ac:dyDescent="0.4">
      <c r="N770" s="35"/>
    </row>
    <row r="771" spans="14:14" x14ac:dyDescent="0.4">
      <c r="N771" s="35"/>
    </row>
    <row r="772" spans="14:14" x14ac:dyDescent="0.4">
      <c r="N772" s="35"/>
    </row>
    <row r="773" spans="14:14" x14ac:dyDescent="0.4">
      <c r="N773" s="35"/>
    </row>
    <row r="774" spans="14:14" x14ac:dyDescent="0.4">
      <c r="N774" s="35"/>
    </row>
    <row r="775" spans="14:14" x14ac:dyDescent="0.4">
      <c r="N775" s="35"/>
    </row>
    <row r="776" spans="14:14" x14ac:dyDescent="0.4">
      <c r="N776" s="35"/>
    </row>
    <row r="777" spans="14:14" x14ac:dyDescent="0.4">
      <c r="N777" s="35"/>
    </row>
    <row r="778" spans="14:14" x14ac:dyDescent="0.4">
      <c r="N778" s="35"/>
    </row>
    <row r="779" spans="14:14" x14ac:dyDescent="0.4">
      <c r="N779" s="35"/>
    </row>
    <row r="780" spans="14:14" x14ac:dyDescent="0.4">
      <c r="N780" s="35"/>
    </row>
    <row r="781" spans="14:14" x14ac:dyDescent="0.4">
      <c r="N781" s="35"/>
    </row>
    <row r="782" spans="14:14" x14ac:dyDescent="0.4">
      <c r="N782" s="35"/>
    </row>
    <row r="783" spans="14:14" x14ac:dyDescent="0.4">
      <c r="N783" s="35"/>
    </row>
    <row r="784" spans="14:14" x14ac:dyDescent="0.4">
      <c r="N784" s="35"/>
    </row>
    <row r="785" spans="14:14" x14ac:dyDescent="0.4">
      <c r="N785" s="35"/>
    </row>
    <row r="786" spans="14:14" x14ac:dyDescent="0.4">
      <c r="N786" s="35"/>
    </row>
    <row r="787" spans="14:14" x14ac:dyDescent="0.4">
      <c r="N787" s="35"/>
    </row>
    <row r="788" spans="14:14" x14ac:dyDescent="0.4">
      <c r="N788" s="35"/>
    </row>
    <row r="789" spans="14:14" x14ac:dyDescent="0.4">
      <c r="N789" s="35"/>
    </row>
    <row r="790" spans="14:14" x14ac:dyDescent="0.4">
      <c r="N790" s="35"/>
    </row>
    <row r="791" spans="14:14" x14ac:dyDescent="0.4">
      <c r="N791" s="35"/>
    </row>
    <row r="792" spans="14:14" x14ac:dyDescent="0.4">
      <c r="N792" s="35"/>
    </row>
    <row r="793" spans="14:14" x14ac:dyDescent="0.4">
      <c r="N793" s="35"/>
    </row>
    <row r="794" spans="14:14" x14ac:dyDescent="0.4">
      <c r="N794" s="35"/>
    </row>
    <row r="795" spans="14:14" x14ac:dyDescent="0.4">
      <c r="N795" s="35"/>
    </row>
    <row r="796" spans="14:14" x14ac:dyDescent="0.4">
      <c r="N796" s="35"/>
    </row>
    <row r="797" spans="14:14" x14ac:dyDescent="0.4">
      <c r="N797" s="35"/>
    </row>
    <row r="798" spans="14:14" x14ac:dyDescent="0.4">
      <c r="N798" s="35"/>
    </row>
    <row r="799" spans="14:14" x14ac:dyDescent="0.4">
      <c r="N799" s="35"/>
    </row>
    <row r="800" spans="14:14" x14ac:dyDescent="0.4">
      <c r="N800" s="35"/>
    </row>
    <row r="801" spans="14:14" x14ac:dyDescent="0.4">
      <c r="N801" s="35"/>
    </row>
    <row r="802" spans="14:14" x14ac:dyDescent="0.4">
      <c r="N802" s="35"/>
    </row>
    <row r="803" spans="14:14" x14ac:dyDescent="0.4">
      <c r="N803" s="35"/>
    </row>
    <row r="804" spans="14:14" x14ac:dyDescent="0.4">
      <c r="N804" s="35"/>
    </row>
    <row r="805" spans="14:14" x14ac:dyDescent="0.4">
      <c r="N805" s="35"/>
    </row>
    <row r="806" spans="14:14" x14ac:dyDescent="0.4">
      <c r="N806" s="35"/>
    </row>
    <row r="807" spans="14:14" x14ac:dyDescent="0.4">
      <c r="N807" s="35"/>
    </row>
    <row r="808" spans="14:14" x14ac:dyDescent="0.4">
      <c r="N808" s="35"/>
    </row>
    <row r="809" spans="14:14" x14ac:dyDescent="0.4">
      <c r="N809" s="35"/>
    </row>
    <row r="810" spans="14:14" x14ac:dyDescent="0.4">
      <c r="N810" s="35"/>
    </row>
    <row r="811" spans="14:14" x14ac:dyDescent="0.4">
      <c r="N811" s="35"/>
    </row>
    <row r="812" spans="14:14" x14ac:dyDescent="0.4">
      <c r="N812" s="35"/>
    </row>
    <row r="813" spans="14:14" x14ac:dyDescent="0.4">
      <c r="N813" s="35"/>
    </row>
    <row r="814" spans="14:14" x14ac:dyDescent="0.4">
      <c r="N814" s="35"/>
    </row>
    <row r="815" spans="14:14" x14ac:dyDescent="0.4">
      <c r="N815" s="35"/>
    </row>
    <row r="816" spans="14:14" x14ac:dyDescent="0.4">
      <c r="N816" s="35"/>
    </row>
    <row r="817" spans="14:14" x14ac:dyDescent="0.4">
      <c r="N817" s="35"/>
    </row>
    <row r="818" spans="14:14" x14ac:dyDescent="0.4">
      <c r="N818" s="35"/>
    </row>
    <row r="819" spans="14:14" x14ac:dyDescent="0.4">
      <c r="N819" s="35"/>
    </row>
    <row r="820" spans="14:14" x14ac:dyDescent="0.4">
      <c r="N820" s="35"/>
    </row>
    <row r="821" spans="14:14" x14ac:dyDescent="0.4">
      <c r="N821" s="35"/>
    </row>
    <row r="822" spans="14:14" x14ac:dyDescent="0.4">
      <c r="N822" s="35"/>
    </row>
    <row r="823" spans="14:14" x14ac:dyDescent="0.4">
      <c r="N823" s="35"/>
    </row>
    <row r="824" spans="14:14" x14ac:dyDescent="0.4">
      <c r="N824" s="35"/>
    </row>
    <row r="825" spans="14:14" x14ac:dyDescent="0.4">
      <c r="N825" s="35"/>
    </row>
    <row r="826" spans="14:14" x14ac:dyDescent="0.4">
      <c r="N826" s="35"/>
    </row>
    <row r="827" spans="14:14" x14ac:dyDescent="0.4">
      <c r="N827" s="35"/>
    </row>
    <row r="828" spans="14:14" x14ac:dyDescent="0.4">
      <c r="N828" s="35"/>
    </row>
    <row r="829" spans="14:14" x14ac:dyDescent="0.4">
      <c r="N829" s="35"/>
    </row>
    <row r="830" spans="14:14" x14ac:dyDescent="0.4">
      <c r="N830" s="35"/>
    </row>
    <row r="831" spans="14:14" x14ac:dyDescent="0.4">
      <c r="N831" s="35"/>
    </row>
    <row r="832" spans="14:14" x14ac:dyDescent="0.4">
      <c r="N832" s="35"/>
    </row>
    <row r="833" spans="14:14" x14ac:dyDescent="0.4">
      <c r="N833" s="35"/>
    </row>
    <row r="834" spans="14:14" x14ac:dyDescent="0.4">
      <c r="N834" s="35"/>
    </row>
    <row r="835" spans="14:14" x14ac:dyDescent="0.4">
      <c r="N835" s="35"/>
    </row>
    <row r="836" spans="14:14" x14ac:dyDescent="0.4">
      <c r="N836" s="35"/>
    </row>
    <row r="837" spans="14:14" x14ac:dyDescent="0.4">
      <c r="N837" s="35"/>
    </row>
    <row r="838" spans="14:14" x14ac:dyDescent="0.4">
      <c r="N838" s="35"/>
    </row>
    <row r="839" spans="14:14" x14ac:dyDescent="0.4">
      <c r="N839" s="35"/>
    </row>
    <row r="840" spans="14:14" x14ac:dyDescent="0.4">
      <c r="N840" s="35"/>
    </row>
    <row r="841" spans="14:14" x14ac:dyDescent="0.4">
      <c r="N841" s="35"/>
    </row>
    <row r="842" spans="14:14" x14ac:dyDescent="0.4">
      <c r="N842" s="35"/>
    </row>
    <row r="843" spans="14:14" x14ac:dyDescent="0.4">
      <c r="N843" s="35"/>
    </row>
    <row r="844" spans="14:14" x14ac:dyDescent="0.4">
      <c r="N844" s="35"/>
    </row>
    <row r="845" spans="14:14" x14ac:dyDescent="0.4">
      <c r="N845" s="35"/>
    </row>
    <row r="846" spans="14:14" x14ac:dyDescent="0.4">
      <c r="N846" s="35"/>
    </row>
    <row r="847" spans="14:14" x14ac:dyDescent="0.4">
      <c r="N847" s="35"/>
    </row>
    <row r="848" spans="14:14" x14ac:dyDescent="0.4">
      <c r="N848" s="35"/>
    </row>
    <row r="849" spans="14:14" x14ac:dyDescent="0.4">
      <c r="N849" s="35"/>
    </row>
    <row r="850" spans="14:14" x14ac:dyDescent="0.4">
      <c r="N850" s="35"/>
    </row>
    <row r="851" spans="14:14" x14ac:dyDescent="0.4">
      <c r="N851" s="35"/>
    </row>
    <row r="852" spans="14:14" x14ac:dyDescent="0.4">
      <c r="N852" s="35"/>
    </row>
    <row r="853" spans="14:14" x14ac:dyDescent="0.4">
      <c r="N853" s="35"/>
    </row>
    <row r="854" spans="14:14" x14ac:dyDescent="0.4">
      <c r="N854" s="35"/>
    </row>
    <row r="855" spans="14:14" x14ac:dyDescent="0.4">
      <c r="N855" s="35"/>
    </row>
    <row r="856" spans="14:14" x14ac:dyDescent="0.4">
      <c r="N856" s="35"/>
    </row>
    <row r="857" spans="14:14" x14ac:dyDescent="0.4">
      <c r="N857" s="35"/>
    </row>
    <row r="858" spans="14:14" x14ac:dyDescent="0.4">
      <c r="N858" s="35"/>
    </row>
    <row r="859" spans="14:14" x14ac:dyDescent="0.4">
      <c r="N859" s="35"/>
    </row>
    <row r="860" spans="14:14" x14ac:dyDescent="0.4">
      <c r="N860" s="35"/>
    </row>
    <row r="861" spans="14:14" x14ac:dyDescent="0.4">
      <c r="N861" s="35"/>
    </row>
    <row r="862" spans="14:14" x14ac:dyDescent="0.4">
      <c r="N862" s="35"/>
    </row>
    <row r="863" spans="14:14" x14ac:dyDescent="0.4">
      <c r="N863" s="35"/>
    </row>
    <row r="864" spans="14:14" x14ac:dyDescent="0.4">
      <c r="N864" s="35"/>
    </row>
    <row r="865" spans="14:14" x14ac:dyDescent="0.4">
      <c r="N865" s="35"/>
    </row>
    <row r="866" spans="14:14" x14ac:dyDescent="0.4">
      <c r="N866" s="35"/>
    </row>
    <row r="867" spans="14:14" x14ac:dyDescent="0.4">
      <c r="N867" s="35"/>
    </row>
    <row r="868" spans="14:14" x14ac:dyDescent="0.4">
      <c r="N868" s="35"/>
    </row>
    <row r="869" spans="14:14" x14ac:dyDescent="0.4">
      <c r="N869" s="35"/>
    </row>
    <row r="870" spans="14:14" x14ac:dyDescent="0.4">
      <c r="N870" s="35"/>
    </row>
    <row r="871" spans="14:14" x14ac:dyDescent="0.4">
      <c r="N871" s="35"/>
    </row>
    <row r="872" spans="14:14" x14ac:dyDescent="0.4">
      <c r="N872" s="35"/>
    </row>
    <row r="873" spans="14:14" x14ac:dyDescent="0.4">
      <c r="N873" s="35"/>
    </row>
    <row r="874" spans="14:14" x14ac:dyDescent="0.4">
      <c r="N874" s="35"/>
    </row>
    <row r="875" spans="14:14" x14ac:dyDescent="0.4">
      <c r="N875" s="35"/>
    </row>
    <row r="876" spans="14:14" x14ac:dyDescent="0.4">
      <c r="N876" s="35"/>
    </row>
    <row r="877" spans="14:14" x14ac:dyDescent="0.4">
      <c r="N877" s="35"/>
    </row>
    <row r="878" spans="14:14" x14ac:dyDescent="0.4">
      <c r="N878" s="35"/>
    </row>
    <row r="879" spans="14:14" x14ac:dyDescent="0.4">
      <c r="N879" s="35"/>
    </row>
    <row r="880" spans="14:14" x14ac:dyDescent="0.4">
      <c r="N880" s="35"/>
    </row>
    <row r="881" spans="14:14" x14ac:dyDescent="0.4">
      <c r="N881" s="35"/>
    </row>
    <row r="882" spans="14:14" x14ac:dyDescent="0.4">
      <c r="N882" s="35"/>
    </row>
    <row r="883" spans="14:14" x14ac:dyDescent="0.4">
      <c r="N883" s="35"/>
    </row>
    <row r="884" spans="14:14" x14ac:dyDescent="0.4">
      <c r="N884" s="35"/>
    </row>
    <row r="885" spans="14:14" x14ac:dyDescent="0.4">
      <c r="N885" s="35"/>
    </row>
    <row r="886" spans="14:14" x14ac:dyDescent="0.4">
      <c r="N886" s="35"/>
    </row>
    <row r="887" spans="14:14" x14ac:dyDescent="0.4">
      <c r="N887" s="35"/>
    </row>
    <row r="888" spans="14:14" x14ac:dyDescent="0.4">
      <c r="N888" s="35"/>
    </row>
    <row r="889" spans="14:14" x14ac:dyDescent="0.4">
      <c r="N889" s="35"/>
    </row>
    <row r="890" spans="14:14" x14ac:dyDescent="0.4">
      <c r="N890" s="35"/>
    </row>
    <row r="891" spans="14:14" x14ac:dyDescent="0.4">
      <c r="N891" s="35"/>
    </row>
    <row r="892" spans="14:14" x14ac:dyDescent="0.4">
      <c r="N892" s="35"/>
    </row>
    <row r="893" spans="14:14" x14ac:dyDescent="0.4">
      <c r="N893" s="35"/>
    </row>
    <row r="894" spans="14:14" x14ac:dyDescent="0.4">
      <c r="N894" s="35"/>
    </row>
    <row r="895" spans="14:14" x14ac:dyDescent="0.4">
      <c r="N895" s="35"/>
    </row>
    <row r="896" spans="14:14" x14ac:dyDescent="0.4">
      <c r="N896" s="35"/>
    </row>
    <row r="897" spans="14:14" x14ac:dyDescent="0.4">
      <c r="N897" s="35"/>
    </row>
    <row r="898" spans="14:14" x14ac:dyDescent="0.4">
      <c r="N898" s="35"/>
    </row>
    <row r="899" spans="14:14" x14ac:dyDescent="0.4">
      <c r="N899" s="35"/>
    </row>
    <row r="900" spans="14:14" x14ac:dyDescent="0.4">
      <c r="N900" s="35"/>
    </row>
    <row r="901" spans="14:14" x14ac:dyDescent="0.4">
      <c r="N901" s="35"/>
    </row>
    <row r="902" spans="14:14" x14ac:dyDescent="0.4">
      <c r="N902" s="35"/>
    </row>
    <row r="903" spans="14:14" x14ac:dyDescent="0.4">
      <c r="N903" s="35"/>
    </row>
    <row r="904" spans="14:14" x14ac:dyDescent="0.4">
      <c r="N904" s="35"/>
    </row>
    <row r="905" spans="14:14" x14ac:dyDescent="0.4">
      <c r="N905" s="35"/>
    </row>
    <row r="906" spans="14:14" x14ac:dyDescent="0.4">
      <c r="N906" s="35"/>
    </row>
    <row r="907" spans="14:14" x14ac:dyDescent="0.4">
      <c r="N907" s="35"/>
    </row>
    <row r="908" spans="14:14" x14ac:dyDescent="0.4">
      <c r="N908" s="35"/>
    </row>
    <row r="909" spans="14:14" x14ac:dyDescent="0.4">
      <c r="N909" s="35"/>
    </row>
    <row r="910" spans="14:14" x14ac:dyDescent="0.4">
      <c r="N910" s="35"/>
    </row>
    <row r="911" spans="14:14" x14ac:dyDescent="0.4">
      <c r="N911" s="35"/>
    </row>
    <row r="912" spans="14:14" x14ac:dyDescent="0.4">
      <c r="N912" s="35"/>
    </row>
    <row r="913" spans="14:14" x14ac:dyDescent="0.4">
      <c r="N913" s="35"/>
    </row>
    <row r="914" spans="14:14" x14ac:dyDescent="0.4">
      <c r="N914" s="35"/>
    </row>
    <row r="915" spans="14:14" x14ac:dyDescent="0.4">
      <c r="N915" s="35"/>
    </row>
    <row r="916" spans="14:14" x14ac:dyDescent="0.4">
      <c r="N916" s="35"/>
    </row>
    <row r="917" spans="14:14" x14ac:dyDescent="0.4">
      <c r="N917" s="35"/>
    </row>
    <row r="918" spans="14:14" x14ac:dyDescent="0.4">
      <c r="N918" s="35"/>
    </row>
    <row r="919" spans="14:14" x14ac:dyDescent="0.4">
      <c r="N919" s="35"/>
    </row>
    <row r="920" spans="14:14" x14ac:dyDescent="0.4">
      <c r="N920" s="35"/>
    </row>
    <row r="921" spans="14:14" x14ac:dyDescent="0.4">
      <c r="N921" s="35"/>
    </row>
    <row r="922" spans="14:14" x14ac:dyDescent="0.4">
      <c r="N922" s="35"/>
    </row>
    <row r="923" spans="14:14" x14ac:dyDescent="0.4">
      <c r="N923" s="35"/>
    </row>
    <row r="924" spans="14:14" x14ac:dyDescent="0.4">
      <c r="N924" s="35"/>
    </row>
    <row r="925" spans="14:14" x14ac:dyDescent="0.4">
      <c r="N925" s="35"/>
    </row>
    <row r="926" spans="14:14" x14ac:dyDescent="0.4">
      <c r="N926" s="35"/>
    </row>
    <row r="927" spans="14:14" x14ac:dyDescent="0.4">
      <c r="N927" s="35"/>
    </row>
    <row r="928" spans="14:14" x14ac:dyDescent="0.4">
      <c r="N928" s="35"/>
    </row>
    <row r="929" spans="14:14" x14ac:dyDescent="0.4">
      <c r="N929" s="35"/>
    </row>
    <row r="930" spans="14:14" x14ac:dyDescent="0.4">
      <c r="N930" s="35"/>
    </row>
    <row r="931" spans="14:14" x14ac:dyDescent="0.4">
      <c r="N931" s="35"/>
    </row>
    <row r="932" spans="14:14" x14ac:dyDescent="0.4">
      <c r="N932" s="35"/>
    </row>
    <row r="933" spans="14:14" x14ac:dyDescent="0.4">
      <c r="N933" s="35"/>
    </row>
    <row r="934" spans="14:14" x14ac:dyDescent="0.4">
      <c r="N934" s="35"/>
    </row>
    <row r="935" spans="14:14" x14ac:dyDescent="0.4">
      <c r="N935" s="35"/>
    </row>
    <row r="936" spans="14:14" x14ac:dyDescent="0.4">
      <c r="N936" s="35"/>
    </row>
    <row r="937" spans="14:14" x14ac:dyDescent="0.4">
      <c r="N937" s="35"/>
    </row>
    <row r="938" spans="14:14" x14ac:dyDescent="0.4">
      <c r="N938" s="35"/>
    </row>
    <row r="939" spans="14:14" x14ac:dyDescent="0.4">
      <c r="N939" s="35"/>
    </row>
    <row r="940" spans="14:14" x14ac:dyDescent="0.4">
      <c r="N940" s="35"/>
    </row>
    <row r="941" spans="14:14" x14ac:dyDescent="0.4">
      <c r="N941" s="35"/>
    </row>
    <row r="942" spans="14:14" x14ac:dyDescent="0.4">
      <c r="N942" s="35"/>
    </row>
    <row r="943" spans="14:14" x14ac:dyDescent="0.4">
      <c r="N943" s="35"/>
    </row>
    <row r="944" spans="14:14" x14ac:dyDescent="0.4">
      <c r="N944" s="35"/>
    </row>
    <row r="945" spans="14:14" x14ac:dyDescent="0.4">
      <c r="N945" s="35"/>
    </row>
    <row r="946" spans="14:14" x14ac:dyDescent="0.4">
      <c r="N946" s="35"/>
    </row>
    <row r="947" spans="14:14" x14ac:dyDescent="0.4">
      <c r="N947" s="35"/>
    </row>
    <row r="948" spans="14:14" x14ac:dyDescent="0.4">
      <c r="N948" s="35"/>
    </row>
    <row r="949" spans="14:14" x14ac:dyDescent="0.4">
      <c r="N949" s="35"/>
    </row>
    <row r="950" spans="14:14" x14ac:dyDescent="0.4">
      <c r="N950" s="35"/>
    </row>
    <row r="951" spans="14:14" x14ac:dyDescent="0.4">
      <c r="N951" s="35"/>
    </row>
    <row r="952" spans="14:14" x14ac:dyDescent="0.4">
      <c r="N952" s="35"/>
    </row>
    <row r="953" spans="14:14" x14ac:dyDescent="0.4">
      <c r="N953" s="35"/>
    </row>
    <row r="954" spans="14:14" x14ac:dyDescent="0.4">
      <c r="N954" s="35"/>
    </row>
    <row r="955" spans="14:14" x14ac:dyDescent="0.4">
      <c r="N955" s="35"/>
    </row>
    <row r="956" spans="14:14" x14ac:dyDescent="0.4">
      <c r="N956" s="35"/>
    </row>
    <row r="957" spans="14:14" x14ac:dyDescent="0.4">
      <c r="N957" s="35"/>
    </row>
    <row r="958" spans="14:14" x14ac:dyDescent="0.4">
      <c r="N958" s="35"/>
    </row>
    <row r="959" spans="14:14" x14ac:dyDescent="0.4">
      <c r="N959" s="35"/>
    </row>
    <row r="960" spans="14:14" x14ac:dyDescent="0.4">
      <c r="N960" s="35"/>
    </row>
    <row r="961" spans="14:14" x14ac:dyDescent="0.4">
      <c r="N961" s="35"/>
    </row>
    <row r="962" spans="14:14" x14ac:dyDescent="0.4">
      <c r="N962" s="35"/>
    </row>
    <row r="963" spans="14:14" x14ac:dyDescent="0.4">
      <c r="N963" s="35"/>
    </row>
    <row r="964" spans="14:14" x14ac:dyDescent="0.4">
      <c r="N964" s="35"/>
    </row>
    <row r="965" spans="14:14" x14ac:dyDescent="0.4">
      <c r="N965" s="35"/>
    </row>
    <row r="966" spans="14:14" x14ac:dyDescent="0.4">
      <c r="N966" s="35"/>
    </row>
    <row r="967" spans="14:14" x14ac:dyDescent="0.4">
      <c r="N967" s="35"/>
    </row>
    <row r="968" spans="14:14" x14ac:dyDescent="0.4">
      <c r="N968" s="35"/>
    </row>
    <row r="969" spans="14:14" x14ac:dyDescent="0.4">
      <c r="N969" s="35"/>
    </row>
    <row r="970" spans="14:14" x14ac:dyDescent="0.4">
      <c r="N970" s="35"/>
    </row>
    <row r="971" spans="14:14" x14ac:dyDescent="0.4">
      <c r="N971" s="35"/>
    </row>
    <row r="972" spans="14:14" x14ac:dyDescent="0.4">
      <c r="N972" s="35"/>
    </row>
    <row r="973" spans="14:14" x14ac:dyDescent="0.4">
      <c r="N973" s="35"/>
    </row>
    <row r="974" spans="14:14" x14ac:dyDescent="0.4">
      <c r="N974" s="35"/>
    </row>
    <row r="975" spans="14:14" x14ac:dyDescent="0.4">
      <c r="N975" s="35"/>
    </row>
    <row r="976" spans="14:14" x14ac:dyDescent="0.4">
      <c r="N976" s="35"/>
    </row>
    <row r="977" spans="14:14" x14ac:dyDescent="0.4">
      <c r="N977" s="35"/>
    </row>
    <row r="978" spans="14:14" x14ac:dyDescent="0.4">
      <c r="N978" s="35"/>
    </row>
    <row r="979" spans="14:14" x14ac:dyDescent="0.4">
      <c r="N979" s="35"/>
    </row>
    <row r="980" spans="14:14" x14ac:dyDescent="0.4">
      <c r="N980" s="35"/>
    </row>
    <row r="981" spans="14:14" x14ac:dyDescent="0.4">
      <c r="N981" s="35"/>
    </row>
    <row r="982" spans="14:14" x14ac:dyDescent="0.4">
      <c r="N982" s="35"/>
    </row>
    <row r="983" spans="14:14" x14ac:dyDescent="0.4">
      <c r="N983" s="35"/>
    </row>
    <row r="984" spans="14:14" x14ac:dyDescent="0.4">
      <c r="N984" s="35"/>
    </row>
    <row r="985" spans="14:14" x14ac:dyDescent="0.4">
      <c r="N985" s="35"/>
    </row>
    <row r="986" spans="14:14" x14ac:dyDescent="0.4">
      <c r="N986" s="35"/>
    </row>
    <row r="987" spans="14:14" x14ac:dyDescent="0.4">
      <c r="N987" s="35"/>
    </row>
    <row r="988" spans="14:14" x14ac:dyDescent="0.4">
      <c r="N988" s="35"/>
    </row>
    <row r="989" spans="14:14" x14ac:dyDescent="0.4">
      <c r="N989" s="35"/>
    </row>
    <row r="990" spans="14:14" x14ac:dyDescent="0.4">
      <c r="N990" s="35"/>
    </row>
    <row r="991" spans="14:14" x14ac:dyDescent="0.4">
      <c r="N991" s="35"/>
    </row>
    <row r="992" spans="14:14" x14ac:dyDescent="0.4">
      <c r="N992" s="35"/>
    </row>
    <row r="993" spans="14:14" x14ac:dyDescent="0.4">
      <c r="N993" s="35"/>
    </row>
    <row r="994" spans="14:14" x14ac:dyDescent="0.4">
      <c r="N994" s="35"/>
    </row>
    <row r="995" spans="14:14" x14ac:dyDescent="0.4">
      <c r="N995" s="35"/>
    </row>
    <row r="996" spans="14:14" x14ac:dyDescent="0.4">
      <c r="N996" s="35"/>
    </row>
    <row r="997" spans="14:14" x14ac:dyDescent="0.4">
      <c r="N997" s="35"/>
    </row>
    <row r="998" spans="14:14" x14ac:dyDescent="0.4">
      <c r="N998" s="35"/>
    </row>
    <row r="999" spans="14:14" x14ac:dyDescent="0.4">
      <c r="N999" s="35"/>
    </row>
    <row r="1000" spans="14:14" x14ac:dyDescent="0.4">
      <c r="N1000" s="35"/>
    </row>
    <row r="1001" spans="14:14" x14ac:dyDescent="0.4">
      <c r="N1001" s="35"/>
    </row>
    <row r="1002" spans="14:14" x14ac:dyDescent="0.4">
      <c r="N1002" s="35"/>
    </row>
    <row r="1003" spans="14:14" x14ac:dyDescent="0.4">
      <c r="N1003" s="35"/>
    </row>
    <row r="1004" spans="14:14" x14ac:dyDescent="0.4">
      <c r="N1004" s="35"/>
    </row>
    <row r="1005" spans="14:14" x14ac:dyDescent="0.4">
      <c r="N1005" s="35"/>
    </row>
    <row r="1006" spans="14:14" x14ac:dyDescent="0.4">
      <c r="N1006" s="35"/>
    </row>
    <row r="1007" spans="14:14" x14ac:dyDescent="0.4">
      <c r="N1007" s="35"/>
    </row>
    <row r="1008" spans="14:14" x14ac:dyDescent="0.4">
      <c r="N1008" s="35"/>
    </row>
    <row r="1009" spans="14:14" x14ac:dyDescent="0.4">
      <c r="N1009" s="35"/>
    </row>
    <row r="1010" spans="14:14" x14ac:dyDescent="0.4">
      <c r="N1010" s="35"/>
    </row>
    <row r="1011" spans="14:14" x14ac:dyDescent="0.4">
      <c r="N1011" s="35"/>
    </row>
    <row r="1012" spans="14:14" x14ac:dyDescent="0.4">
      <c r="N1012" s="35"/>
    </row>
    <row r="1013" spans="14:14" x14ac:dyDescent="0.4">
      <c r="N1013" s="35"/>
    </row>
    <row r="1014" spans="14:14" x14ac:dyDescent="0.4">
      <c r="N1014" s="35"/>
    </row>
    <row r="1015" spans="14:14" x14ac:dyDescent="0.4">
      <c r="N1015" s="35"/>
    </row>
    <row r="1016" spans="14:14" x14ac:dyDescent="0.4">
      <c r="N1016" s="35"/>
    </row>
    <row r="1017" spans="14:14" x14ac:dyDescent="0.4">
      <c r="N1017" s="35"/>
    </row>
    <row r="1018" spans="14:14" x14ac:dyDescent="0.4">
      <c r="N1018" s="35"/>
    </row>
    <row r="1019" spans="14:14" x14ac:dyDescent="0.4">
      <c r="N1019" s="35"/>
    </row>
    <row r="1020" spans="14:14" x14ac:dyDescent="0.4">
      <c r="N1020" s="35"/>
    </row>
    <row r="1021" spans="14:14" x14ac:dyDescent="0.4">
      <c r="N1021" s="35"/>
    </row>
    <row r="1022" spans="14:14" x14ac:dyDescent="0.4">
      <c r="N1022" s="35"/>
    </row>
    <row r="1023" spans="14:14" x14ac:dyDescent="0.4">
      <c r="N1023" s="35"/>
    </row>
    <row r="1024" spans="14:14" x14ac:dyDescent="0.4">
      <c r="N1024" s="35"/>
    </row>
    <row r="1025" spans="14:14" x14ac:dyDescent="0.4">
      <c r="N1025" s="35"/>
    </row>
    <row r="1026" spans="14:14" x14ac:dyDescent="0.4">
      <c r="N1026" s="35"/>
    </row>
    <row r="1027" spans="14:14" x14ac:dyDescent="0.4">
      <c r="N1027" s="35"/>
    </row>
    <row r="1028" spans="14:14" x14ac:dyDescent="0.4">
      <c r="N1028" s="35"/>
    </row>
    <row r="1029" spans="14:14" x14ac:dyDescent="0.4">
      <c r="N1029" s="35"/>
    </row>
    <row r="1030" spans="14:14" x14ac:dyDescent="0.4">
      <c r="N1030" s="35"/>
    </row>
    <row r="1031" spans="14:14" x14ac:dyDescent="0.4">
      <c r="N1031" s="35"/>
    </row>
    <row r="1032" spans="14:14" x14ac:dyDescent="0.4">
      <c r="N1032" s="35"/>
    </row>
    <row r="1033" spans="14:14" x14ac:dyDescent="0.4">
      <c r="N1033" s="35"/>
    </row>
    <row r="1034" spans="14:14" x14ac:dyDescent="0.4">
      <c r="N1034" s="35"/>
    </row>
    <row r="1035" spans="14:14" x14ac:dyDescent="0.4">
      <c r="N1035" s="35"/>
    </row>
    <row r="1036" spans="14:14" x14ac:dyDescent="0.4">
      <c r="N1036" s="35"/>
    </row>
    <row r="1037" spans="14:14" x14ac:dyDescent="0.4">
      <c r="N1037" s="35"/>
    </row>
    <row r="1038" spans="14:14" x14ac:dyDescent="0.4">
      <c r="N1038" s="35"/>
    </row>
    <row r="1039" spans="14:14" x14ac:dyDescent="0.4">
      <c r="N1039" s="35"/>
    </row>
    <row r="1040" spans="14:14" x14ac:dyDescent="0.4">
      <c r="N1040" s="35"/>
    </row>
    <row r="1041" spans="14:14" x14ac:dyDescent="0.4">
      <c r="N1041" s="35"/>
    </row>
    <row r="1042" spans="14:14" x14ac:dyDescent="0.4">
      <c r="N1042" s="35"/>
    </row>
    <row r="1043" spans="14:14" x14ac:dyDescent="0.4">
      <c r="N1043" s="35"/>
    </row>
    <row r="1044" spans="14:14" x14ac:dyDescent="0.4">
      <c r="N1044" s="35"/>
    </row>
    <row r="1045" spans="14:14" x14ac:dyDescent="0.4">
      <c r="N1045" s="35"/>
    </row>
    <row r="1046" spans="14:14" x14ac:dyDescent="0.4">
      <c r="N1046" s="35"/>
    </row>
    <row r="1047" spans="14:14" x14ac:dyDescent="0.4">
      <c r="N1047" s="35"/>
    </row>
    <row r="1048" spans="14:14" x14ac:dyDescent="0.4">
      <c r="N1048" s="35"/>
    </row>
    <row r="1049" spans="14:14" x14ac:dyDescent="0.4">
      <c r="N1049" s="35"/>
    </row>
    <row r="1050" spans="14:14" x14ac:dyDescent="0.4">
      <c r="N1050" s="35"/>
    </row>
    <row r="1051" spans="14:14" x14ac:dyDescent="0.4">
      <c r="N1051" s="35"/>
    </row>
    <row r="1052" spans="14:14" x14ac:dyDescent="0.4">
      <c r="N1052" s="35"/>
    </row>
    <row r="1053" spans="14:14" x14ac:dyDescent="0.4">
      <c r="N1053" s="35"/>
    </row>
    <row r="1054" spans="14:14" x14ac:dyDescent="0.4">
      <c r="N1054" s="35"/>
    </row>
    <row r="1055" spans="14:14" x14ac:dyDescent="0.4">
      <c r="N1055" s="35"/>
    </row>
    <row r="1056" spans="14:14" x14ac:dyDescent="0.4">
      <c r="N1056" s="35"/>
    </row>
    <row r="1057" spans="14:14" x14ac:dyDescent="0.4">
      <c r="N1057" s="35"/>
    </row>
    <row r="1058" spans="14:14" x14ac:dyDescent="0.4">
      <c r="N1058" s="35"/>
    </row>
    <row r="1059" spans="14:14" x14ac:dyDescent="0.4">
      <c r="N1059" s="35"/>
    </row>
    <row r="1060" spans="14:14" x14ac:dyDescent="0.4">
      <c r="N1060" s="35"/>
    </row>
    <row r="1061" spans="14:14" x14ac:dyDescent="0.4">
      <c r="N1061" s="35"/>
    </row>
    <row r="1062" spans="14:14" x14ac:dyDescent="0.4">
      <c r="N1062" s="35"/>
    </row>
    <row r="1063" spans="14:14" x14ac:dyDescent="0.4">
      <c r="N1063" s="35"/>
    </row>
    <row r="1064" spans="14:14" x14ac:dyDescent="0.4">
      <c r="N1064" s="35"/>
    </row>
    <row r="1065" spans="14:14" x14ac:dyDescent="0.4">
      <c r="N1065" s="35"/>
    </row>
    <row r="1066" spans="14:14" x14ac:dyDescent="0.4">
      <c r="N1066" s="35"/>
    </row>
    <row r="1067" spans="14:14" x14ac:dyDescent="0.4">
      <c r="N1067" s="35"/>
    </row>
    <row r="1068" spans="14:14" x14ac:dyDescent="0.4">
      <c r="N1068" s="35"/>
    </row>
    <row r="1069" spans="14:14" x14ac:dyDescent="0.4">
      <c r="N1069" s="35"/>
    </row>
    <row r="1070" spans="14:14" x14ac:dyDescent="0.4">
      <c r="N1070" s="35"/>
    </row>
    <row r="1071" spans="14:14" x14ac:dyDescent="0.4">
      <c r="N1071" s="35"/>
    </row>
    <row r="1072" spans="14:14" x14ac:dyDescent="0.4">
      <c r="N1072" s="35"/>
    </row>
    <row r="1073" spans="14:14" x14ac:dyDescent="0.4">
      <c r="N1073" s="35"/>
    </row>
    <row r="1074" spans="14:14" x14ac:dyDescent="0.4">
      <c r="N1074" s="35"/>
    </row>
    <row r="1075" spans="14:14" x14ac:dyDescent="0.4">
      <c r="N1075" s="35"/>
    </row>
    <row r="1076" spans="14:14" x14ac:dyDescent="0.4">
      <c r="N1076" s="35"/>
    </row>
    <row r="1077" spans="14:14" x14ac:dyDescent="0.4">
      <c r="N1077" s="35"/>
    </row>
    <row r="1078" spans="14:14" x14ac:dyDescent="0.4">
      <c r="N1078" s="35"/>
    </row>
    <row r="1079" spans="14:14" x14ac:dyDescent="0.4">
      <c r="N1079" s="35"/>
    </row>
    <row r="1080" spans="14:14" x14ac:dyDescent="0.4">
      <c r="N1080" s="35"/>
    </row>
    <row r="1081" spans="14:14" x14ac:dyDescent="0.4">
      <c r="N1081" s="35"/>
    </row>
    <row r="1082" spans="14:14" x14ac:dyDescent="0.4">
      <c r="N1082" s="35"/>
    </row>
    <row r="1083" spans="14:14" x14ac:dyDescent="0.4">
      <c r="N1083" s="35"/>
    </row>
    <row r="1084" spans="14:14" x14ac:dyDescent="0.4">
      <c r="N1084" s="35"/>
    </row>
    <row r="1085" spans="14:14" x14ac:dyDescent="0.4">
      <c r="N1085" s="35"/>
    </row>
    <row r="1086" spans="14:14" x14ac:dyDescent="0.4">
      <c r="N1086" s="35"/>
    </row>
    <row r="1087" spans="14:14" x14ac:dyDescent="0.4">
      <c r="N1087" s="35"/>
    </row>
    <row r="1088" spans="14:14" x14ac:dyDescent="0.4">
      <c r="N1088" s="35"/>
    </row>
    <row r="1089" spans="14:14" x14ac:dyDescent="0.4">
      <c r="N1089" s="35"/>
    </row>
    <row r="1090" spans="14:14" x14ac:dyDescent="0.4">
      <c r="N1090" s="35"/>
    </row>
    <row r="1091" spans="14:14" x14ac:dyDescent="0.4">
      <c r="N1091" s="35"/>
    </row>
    <row r="1092" spans="14:14" x14ac:dyDescent="0.4">
      <c r="N1092" s="35"/>
    </row>
    <row r="1093" spans="14:14" x14ac:dyDescent="0.4">
      <c r="N1093" s="35"/>
    </row>
    <row r="1094" spans="14:14" x14ac:dyDescent="0.4">
      <c r="N1094" s="35"/>
    </row>
    <row r="1095" spans="14:14" x14ac:dyDescent="0.4">
      <c r="N1095" s="35"/>
    </row>
    <row r="1096" spans="14:14" x14ac:dyDescent="0.4">
      <c r="N1096" s="35"/>
    </row>
    <row r="1097" spans="14:14" x14ac:dyDescent="0.4">
      <c r="N1097" s="35"/>
    </row>
    <row r="1098" spans="14:14" x14ac:dyDescent="0.4">
      <c r="N1098" s="35"/>
    </row>
    <row r="1099" spans="14:14" x14ac:dyDescent="0.4">
      <c r="N1099" s="35"/>
    </row>
    <row r="1100" spans="14:14" x14ac:dyDescent="0.4">
      <c r="N1100" s="35"/>
    </row>
    <row r="1101" spans="14:14" x14ac:dyDescent="0.4">
      <c r="N1101" s="35"/>
    </row>
    <row r="1102" spans="14:14" x14ac:dyDescent="0.4">
      <c r="N1102" s="35"/>
    </row>
    <row r="1103" spans="14:14" x14ac:dyDescent="0.4">
      <c r="N1103" s="35"/>
    </row>
    <row r="1104" spans="14:14" x14ac:dyDescent="0.4">
      <c r="N1104" s="35"/>
    </row>
    <row r="1105" spans="14:14" x14ac:dyDescent="0.4">
      <c r="N1105" s="35"/>
    </row>
    <row r="1106" spans="14:14" x14ac:dyDescent="0.4">
      <c r="N1106" s="35"/>
    </row>
    <row r="1107" spans="14:14" x14ac:dyDescent="0.4">
      <c r="N1107" s="35"/>
    </row>
    <row r="1108" spans="14:14" x14ac:dyDescent="0.4">
      <c r="N1108" s="35"/>
    </row>
    <row r="1109" spans="14:14" x14ac:dyDescent="0.4">
      <c r="N1109" s="35"/>
    </row>
    <row r="1110" spans="14:14" x14ac:dyDescent="0.4">
      <c r="N1110" s="35"/>
    </row>
    <row r="1111" spans="14:14" x14ac:dyDescent="0.4">
      <c r="N1111" s="35"/>
    </row>
    <row r="1112" spans="14:14" x14ac:dyDescent="0.4">
      <c r="N1112" s="35"/>
    </row>
    <row r="1113" spans="14:14" x14ac:dyDescent="0.4">
      <c r="N1113" s="35"/>
    </row>
    <row r="1114" spans="14:14" x14ac:dyDescent="0.4">
      <c r="N1114" s="35"/>
    </row>
    <row r="1115" spans="14:14" x14ac:dyDescent="0.4">
      <c r="N1115" s="35"/>
    </row>
    <row r="1116" spans="14:14" x14ac:dyDescent="0.4">
      <c r="N1116" s="35"/>
    </row>
    <row r="1117" spans="14:14" x14ac:dyDescent="0.4">
      <c r="N1117" s="35"/>
    </row>
    <row r="1118" spans="14:14" x14ac:dyDescent="0.4">
      <c r="N1118" s="35"/>
    </row>
    <row r="1119" spans="14:14" x14ac:dyDescent="0.4">
      <c r="N1119" s="35"/>
    </row>
    <row r="1120" spans="14:14" x14ac:dyDescent="0.4">
      <c r="N1120" s="35"/>
    </row>
    <row r="1121" spans="14:14" x14ac:dyDescent="0.4">
      <c r="N1121" s="35"/>
    </row>
    <row r="1122" spans="14:14" x14ac:dyDescent="0.4">
      <c r="N1122" s="35"/>
    </row>
    <row r="1123" spans="14:14" x14ac:dyDescent="0.4">
      <c r="N1123" s="35"/>
    </row>
    <row r="1124" spans="14:14" x14ac:dyDescent="0.4">
      <c r="N1124" s="35"/>
    </row>
    <row r="1125" spans="14:14" x14ac:dyDescent="0.4">
      <c r="N1125" s="35"/>
    </row>
    <row r="1126" spans="14:14" x14ac:dyDescent="0.4">
      <c r="N1126" s="35"/>
    </row>
    <row r="1127" spans="14:14" x14ac:dyDescent="0.4">
      <c r="N1127" s="35"/>
    </row>
    <row r="1128" spans="14:14" x14ac:dyDescent="0.4">
      <c r="N1128" s="35"/>
    </row>
    <row r="1129" spans="14:14" x14ac:dyDescent="0.4">
      <c r="N1129" s="35"/>
    </row>
    <row r="1130" spans="14:14" x14ac:dyDescent="0.4">
      <c r="N1130" s="35"/>
    </row>
    <row r="1131" spans="14:14" x14ac:dyDescent="0.4">
      <c r="N1131" s="35"/>
    </row>
    <row r="1132" spans="14:14" x14ac:dyDescent="0.4">
      <c r="N1132" s="35"/>
    </row>
    <row r="1133" spans="14:14" x14ac:dyDescent="0.4">
      <c r="N1133" s="35"/>
    </row>
    <row r="1134" spans="14:14" x14ac:dyDescent="0.4">
      <c r="N1134" s="35"/>
    </row>
    <row r="1135" spans="14:14" x14ac:dyDescent="0.4">
      <c r="N1135" s="35"/>
    </row>
    <row r="1136" spans="14:14" x14ac:dyDescent="0.4">
      <c r="N1136" s="35"/>
    </row>
    <row r="1137" spans="14:14" x14ac:dyDescent="0.4">
      <c r="N1137" s="35"/>
    </row>
    <row r="1138" spans="14:14" x14ac:dyDescent="0.4">
      <c r="N1138" s="35"/>
    </row>
    <row r="1139" spans="14:14" x14ac:dyDescent="0.4">
      <c r="N1139" s="35"/>
    </row>
    <row r="1140" spans="14:14" x14ac:dyDescent="0.4">
      <c r="N1140" s="35"/>
    </row>
    <row r="1141" spans="14:14" x14ac:dyDescent="0.4">
      <c r="N1141" s="35"/>
    </row>
    <row r="1142" spans="14:14" x14ac:dyDescent="0.4">
      <c r="N1142" s="35"/>
    </row>
    <row r="1143" spans="14:14" x14ac:dyDescent="0.4">
      <c r="N1143" s="35"/>
    </row>
    <row r="1144" spans="14:14" x14ac:dyDescent="0.4">
      <c r="N1144" s="35"/>
    </row>
    <row r="1145" spans="14:14" x14ac:dyDescent="0.4">
      <c r="N1145" s="35"/>
    </row>
    <row r="1146" spans="14:14" x14ac:dyDescent="0.4">
      <c r="N1146" s="35"/>
    </row>
    <row r="1147" spans="14:14" x14ac:dyDescent="0.4">
      <c r="N1147" s="35"/>
    </row>
    <row r="1148" spans="14:14" x14ac:dyDescent="0.4">
      <c r="N1148" s="35"/>
    </row>
    <row r="1149" spans="14:14" x14ac:dyDescent="0.4">
      <c r="N1149" s="35"/>
    </row>
    <row r="1150" spans="14:14" x14ac:dyDescent="0.4">
      <c r="N1150" s="35"/>
    </row>
    <row r="1151" spans="14:14" x14ac:dyDescent="0.4">
      <c r="N1151" s="35"/>
    </row>
    <row r="1152" spans="14:14" x14ac:dyDescent="0.4">
      <c r="N1152" s="35"/>
    </row>
    <row r="1153" spans="14:14" x14ac:dyDescent="0.4">
      <c r="N1153" s="35"/>
    </row>
    <row r="1154" spans="14:14" x14ac:dyDescent="0.4">
      <c r="N1154" s="35"/>
    </row>
    <row r="1155" spans="14:14" x14ac:dyDescent="0.4">
      <c r="N1155" s="35"/>
    </row>
    <row r="1156" spans="14:14" x14ac:dyDescent="0.4">
      <c r="N1156" s="35"/>
    </row>
    <row r="1157" spans="14:14" x14ac:dyDescent="0.4">
      <c r="N1157" s="35"/>
    </row>
    <row r="1158" spans="14:14" x14ac:dyDescent="0.4">
      <c r="N1158" s="35"/>
    </row>
    <row r="1159" spans="14:14" x14ac:dyDescent="0.4">
      <c r="N1159" s="35"/>
    </row>
    <row r="1160" spans="14:14" x14ac:dyDescent="0.4">
      <c r="N1160" s="35"/>
    </row>
    <row r="1161" spans="14:14" x14ac:dyDescent="0.4">
      <c r="N1161" s="35"/>
    </row>
    <row r="1162" spans="14:14" x14ac:dyDescent="0.4">
      <c r="N1162" s="35"/>
    </row>
    <row r="1163" spans="14:14" x14ac:dyDescent="0.4">
      <c r="N1163" s="35"/>
    </row>
    <row r="1164" spans="14:14" x14ac:dyDescent="0.4">
      <c r="N1164" s="35"/>
    </row>
    <row r="1165" spans="14:14" x14ac:dyDescent="0.4">
      <c r="N1165" s="35"/>
    </row>
    <row r="1166" spans="14:14" x14ac:dyDescent="0.4">
      <c r="N1166" s="35"/>
    </row>
    <row r="1167" spans="14:14" x14ac:dyDescent="0.4">
      <c r="N1167" s="35"/>
    </row>
    <row r="1168" spans="14:14" x14ac:dyDescent="0.4">
      <c r="N1168" s="35"/>
    </row>
    <row r="1169" spans="14:14" x14ac:dyDescent="0.4">
      <c r="N1169" s="35"/>
    </row>
    <row r="1170" spans="14:14" x14ac:dyDescent="0.4">
      <c r="N1170" s="35"/>
    </row>
    <row r="1171" spans="14:14" x14ac:dyDescent="0.4">
      <c r="N1171" s="35"/>
    </row>
    <row r="1172" spans="14:14" x14ac:dyDescent="0.4">
      <c r="N1172" s="35"/>
    </row>
    <row r="1173" spans="14:14" x14ac:dyDescent="0.4">
      <c r="N1173" s="35"/>
    </row>
    <row r="1174" spans="14:14" x14ac:dyDescent="0.4">
      <c r="N1174" s="35"/>
    </row>
    <row r="1175" spans="14:14" x14ac:dyDescent="0.4">
      <c r="N1175" s="35"/>
    </row>
    <row r="1176" spans="14:14" x14ac:dyDescent="0.4">
      <c r="N1176" s="35"/>
    </row>
    <row r="1177" spans="14:14" x14ac:dyDescent="0.4">
      <c r="N1177" s="35"/>
    </row>
    <row r="1178" spans="14:14" x14ac:dyDescent="0.4">
      <c r="N1178" s="35"/>
    </row>
    <row r="1179" spans="14:14" x14ac:dyDescent="0.4">
      <c r="N1179" s="35"/>
    </row>
    <row r="1180" spans="14:14" x14ac:dyDescent="0.4">
      <c r="N1180" s="35"/>
    </row>
    <row r="1181" spans="14:14" x14ac:dyDescent="0.4">
      <c r="N1181" s="35"/>
    </row>
  </sheetData>
  <sheetProtection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48" t="s">
        <v>0</v>
      </c>
      <c r="B1" s="48"/>
      <c r="C1" s="48"/>
      <c r="D1" s="48"/>
      <c r="E1" s="48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4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4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4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4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4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4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4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4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4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4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4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09"/>
  <sheetViews>
    <sheetView zoomScale="70" zoomScaleNormal="70" workbookViewId="0">
      <selection activeCell="A47" sqref="A47:G52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49" t="s">
        <v>52</v>
      </c>
      <c r="B1" s="49"/>
      <c r="C1" s="49"/>
      <c r="D1" s="49"/>
      <c r="E1" s="49"/>
      <c r="F1" s="49"/>
      <c r="G1" s="49"/>
    </row>
    <row r="2" spans="1:7" x14ac:dyDescent="0.4">
      <c r="A2" s="3" t="s">
        <v>53</v>
      </c>
      <c r="B2" s="3" t="s">
        <v>54</v>
      </c>
      <c r="C2" s="3" t="s">
        <v>42</v>
      </c>
      <c r="D2" s="3" t="s">
        <v>45</v>
      </c>
      <c r="E2" s="3" t="s">
        <v>46</v>
      </c>
      <c r="F2" s="3" t="s">
        <v>4</v>
      </c>
      <c r="G2" s="3" t="s">
        <v>29</v>
      </c>
    </row>
    <row r="3" spans="1:7" x14ac:dyDescent="0.4">
      <c r="A3" s="58">
        <v>1000</v>
      </c>
      <c r="B3" s="59">
        <v>45450.978043981479</v>
      </c>
      <c r="C3" s="58" t="s">
        <v>43</v>
      </c>
      <c r="D3" s="58" t="s">
        <v>8</v>
      </c>
      <c r="E3" s="58">
        <v>1</v>
      </c>
      <c r="F3" s="60">
        <v>0.99</v>
      </c>
      <c r="G3" s="60">
        <v>0.99</v>
      </c>
    </row>
    <row r="4" spans="1:7" x14ac:dyDescent="0.4">
      <c r="A4" s="58">
        <v>1001</v>
      </c>
      <c r="B4" s="59">
        <v>45450.978043981479</v>
      </c>
      <c r="C4" s="58" t="s">
        <v>43</v>
      </c>
      <c r="D4" s="58" t="s">
        <v>8</v>
      </c>
      <c r="E4" s="58">
        <v>1</v>
      </c>
      <c r="F4" s="60">
        <v>0.99</v>
      </c>
      <c r="G4" s="60">
        <v>0.99</v>
      </c>
    </row>
    <row r="5" spans="1:7" x14ac:dyDescent="0.4">
      <c r="A5" s="58">
        <v>1002</v>
      </c>
      <c r="B5" s="59">
        <v>45450.978043981479</v>
      </c>
      <c r="C5" s="58" t="s">
        <v>43</v>
      </c>
      <c r="D5" s="58" t="s">
        <v>18</v>
      </c>
      <c r="E5" s="58">
        <v>1</v>
      </c>
      <c r="F5" s="60">
        <v>3.99</v>
      </c>
      <c r="G5" s="60">
        <v>3.99</v>
      </c>
    </row>
    <row r="6" spans="1:7" x14ac:dyDescent="0.4">
      <c r="A6" s="58">
        <v>1003</v>
      </c>
      <c r="B6" s="59">
        <v>45450.978043981479</v>
      </c>
      <c r="C6" s="58" t="s">
        <v>43</v>
      </c>
      <c r="D6" s="58" t="s">
        <v>16</v>
      </c>
      <c r="E6" s="58">
        <v>1</v>
      </c>
      <c r="F6" s="60">
        <v>1.99</v>
      </c>
      <c r="G6" s="60">
        <v>1.99</v>
      </c>
    </row>
    <row r="7" spans="1:7" x14ac:dyDescent="0.4">
      <c r="A7" s="58">
        <v>1004</v>
      </c>
      <c r="B7" s="59">
        <v>45450.978043981479</v>
      </c>
      <c r="C7" s="58" t="s">
        <v>43</v>
      </c>
      <c r="D7" s="58" t="s">
        <v>14</v>
      </c>
      <c r="E7" s="58">
        <v>1</v>
      </c>
      <c r="F7" s="60">
        <v>3.49</v>
      </c>
      <c r="G7" s="60">
        <v>3.49</v>
      </c>
    </row>
    <row r="8" spans="1:7" x14ac:dyDescent="0.4">
      <c r="A8" s="58">
        <v>1005</v>
      </c>
      <c r="B8" s="59">
        <v>45450.978043981479</v>
      </c>
      <c r="C8" s="58" t="s">
        <v>43</v>
      </c>
      <c r="D8" s="58" t="s">
        <v>6</v>
      </c>
      <c r="E8" s="58">
        <v>1</v>
      </c>
      <c r="F8" s="60">
        <v>2.99</v>
      </c>
      <c r="G8" s="60">
        <v>2.99</v>
      </c>
    </row>
    <row r="9" spans="1:7" x14ac:dyDescent="0.4">
      <c r="A9" s="58">
        <v>1006</v>
      </c>
      <c r="B9" s="59">
        <v>45450.978043981479</v>
      </c>
      <c r="C9" s="58" t="s">
        <v>43</v>
      </c>
      <c r="D9" s="58" t="s">
        <v>16</v>
      </c>
      <c r="E9" s="58">
        <v>1</v>
      </c>
      <c r="F9" s="60">
        <v>1.99</v>
      </c>
      <c r="G9" s="60">
        <v>1.99</v>
      </c>
    </row>
    <row r="10" spans="1:7" x14ac:dyDescent="0.4">
      <c r="A10" s="58">
        <v>1007</v>
      </c>
      <c r="B10" s="59">
        <v>45450.978043981479</v>
      </c>
      <c r="C10" s="58" t="s">
        <v>43</v>
      </c>
      <c r="D10" s="58" t="s">
        <v>14</v>
      </c>
      <c r="E10" s="58">
        <v>1</v>
      </c>
      <c r="F10" s="60">
        <v>3.49</v>
      </c>
      <c r="G10" s="60">
        <v>3.49</v>
      </c>
    </row>
    <row r="11" spans="1:7" x14ac:dyDescent="0.4">
      <c r="A11" s="58">
        <v>1008</v>
      </c>
      <c r="B11" s="59">
        <v>45450.978043981479</v>
      </c>
      <c r="C11" s="58" t="s">
        <v>43</v>
      </c>
      <c r="D11" s="58" t="s">
        <v>8</v>
      </c>
      <c r="E11" s="58">
        <v>1</v>
      </c>
      <c r="F11" s="60">
        <v>0.99</v>
      </c>
      <c r="G11" s="60">
        <v>0.99</v>
      </c>
    </row>
    <row r="12" spans="1:7" x14ac:dyDescent="0.4">
      <c r="A12" s="58">
        <v>1009</v>
      </c>
      <c r="B12" s="59">
        <v>45450.988368055558</v>
      </c>
      <c r="C12" s="58" t="s">
        <v>43</v>
      </c>
      <c r="D12" s="58" t="s">
        <v>14</v>
      </c>
      <c r="E12" s="58">
        <v>1</v>
      </c>
      <c r="F12" s="60">
        <v>3.49</v>
      </c>
      <c r="G12" s="60">
        <v>3.49</v>
      </c>
    </row>
    <row r="13" spans="1:7" x14ac:dyDescent="0.4">
      <c r="A13" s="58">
        <v>1009</v>
      </c>
      <c r="B13" s="59">
        <v>45450.988368055558</v>
      </c>
      <c r="C13" s="58" t="s">
        <v>43</v>
      </c>
      <c r="D13" s="58" t="s">
        <v>16</v>
      </c>
      <c r="E13" s="58">
        <v>1</v>
      </c>
      <c r="F13" s="60">
        <v>1.99</v>
      </c>
      <c r="G13" s="60">
        <v>1.99</v>
      </c>
    </row>
    <row r="14" spans="1:7" x14ac:dyDescent="0.4">
      <c r="A14" s="58">
        <v>1010</v>
      </c>
      <c r="B14" s="59">
        <v>45450.989756944444</v>
      </c>
      <c r="C14" s="58" t="s">
        <v>43</v>
      </c>
      <c r="D14" s="58" t="s">
        <v>8</v>
      </c>
      <c r="E14" s="58">
        <v>1</v>
      </c>
      <c r="F14" s="60">
        <v>0.99</v>
      </c>
      <c r="G14" s="60">
        <v>0.99</v>
      </c>
    </row>
    <row r="15" spans="1:7" x14ac:dyDescent="0.4">
      <c r="A15" s="58">
        <v>1011</v>
      </c>
      <c r="B15" s="59">
        <v>45450.989756944444</v>
      </c>
      <c r="C15" s="58" t="s">
        <v>43</v>
      </c>
      <c r="D15" s="58" t="s">
        <v>16</v>
      </c>
      <c r="E15" s="58">
        <v>1</v>
      </c>
      <c r="F15" s="60">
        <v>1.99</v>
      </c>
      <c r="G15" s="60">
        <v>1.99</v>
      </c>
    </row>
    <row r="16" spans="1:7" x14ac:dyDescent="0.4">
      <c r="A16" s="58">
        <v>1012</v>
      </c>
      <c r="B16" s="59">
        <v>45450.989756944444</v>
      </c>
      <c r="C16" s="58" t="s">
        <v>43</v>
      </c>
      <c r="D16" s="58" t="s">
        <v>14</v>
      </c>
      <c r="E16" s="58">
        <v>1</v>
      </c>
      <c r="F16" s="60">
        <v>3.49</v>
      </c>
      <c r="G16" s="60">
        <v>3.49</v>
      </c>
    </row>
    <row r="17" spans="1:7" x14ac:dyDescent="0.4">
      <c r="A17" s="58">
        <v>1013</v>
      </c>
      <c r="B17" s="59">
        <v>45450.989756944444</v>
      </c>
      <c r="C17" s="58" t="s">
        <v>43</v>
      </c>
      <c r="D17" s="58" t="s">
        <v>12</v>
      </c>
      <c r="E17" s="58">
        <v>1</v>
      </c>
      <c r="F17" s="60">
        <v>1.95</v>
      </c>
      <c r="G17" s="60">
        <v>1.95</v>
      </c>
    </row>
    <row r="18" spans="1:7" x14ac:dyDescent="0.4">
      <c r="A18" s="58">
        <v>1014</v>
      </c>
      <c r="B18" s="59">
        <v>45450.989756944444</v>
      </c>
      <c r="C18" s="58" t="s">
        <v>43</v>
      </c>
      <c r="D18" s="58" t="s">
        <v>16</v>
      </c>
      <c r="E18" s="58">
        <v>1</v>
      </c>
      <c r="F18" s="60">
        <v>1.99</v>
      </c>
      <c r="G18" s="60">
        <v>1.99</v>
      </c>
    </row>
    <row r="19" spans="1:7" x14ac:dyDescent="0.4">
      <c r="A19" s="58">
        <v>1015</v>
      </c>
      <c r="B19" s="59">
        <v>45450.989756944444</v>
      </c>
      <c r="C19" s="58" t="s">
        <v>43</v>
      </c>
      <c r="D19" s="58" t="s">
        <v>12</v>
      </c>
      <c r="E19" s="58">
        <v>1</v>
      </c>
      <c r="F19" s="60">
        <v>1.95</v>
      </c>
      <c r="G19" s="60">
        <v>1.95</v>
      </c>
    </row>
    <row r="20" spans="1:7" x14ac:dyDescent="0.4">
      <c r="A20" s="58">
        <v>1016</v>
      </c>
      <c r="B20" s="59">
        <v>45450.989756944444</v>
      </c>
      <c r="C20" s="58" t="s">
        <v>43</v>
      </c>
      <c r="D20" s="58" t="s">
        <v>10</v>
      </c>
      <c r="E20" s="58">
        <v>1</v>
      </c>
      <c r="F20" s="60">
        <v>5.99</v>
      </c>
      <c r="G20" s="60">
        <v>5.99</v>
      </c>
    </row>
    <row r="21" spans="1:7" x14ac:dyDescent="0.4">
      <c r="A21" s="58">
        <v>1017</v>
      </c>
      <c r="B21" s="59">
        <v>45450.989756944444</v>
      </c>
      <c r="C21" s="58" t="s">
        <v>43</v>
      </c>
      <c r="D21" s="58" t="s">
        <v>18</v>
      </c>
      <c r="E21" s="58">
        <v>1</v>
      </c>
      <c r="F21" s="60">
        <v>3.99</v>
      </c>
      <c r="G21" s="60">
        <v>3.99</v>
      </c>
    </row>
    <row r="22" spans="1:7" x14ac:dyDescent="0.4">
      <c r="A22" s="58">
        <v>1018</v>
      </c>
      <c r="B22" s="59">
        <v>45450.989756944444</v>
      </c>
      <c r="C22" s="58" t="s">
        <v>43</v>
      </c>
      <c r="D22" s="58" t="s">
        <v>8</v>
      </c>
      <c r="E22" s="58">
        <v>1</v>
      </c>
      <c r="F22" s="60">
        <v>0.99</v>
      </c>
      <c r="G22" s="60">
        <v>0.99</v>
      </c>
    </row>
    <row r="23" spans="1:7" x14ac:dyDescent="0.4">
      <c r="A23" s="58">
        <v>1019</v>
      </c>
      <c r="B23" s="59">
        <v>45451.447685185187</v>
      </c>
      <c r="C23" s="58" t="s">
        <v>43</v>
      </c>
      <c r="D23" s="61" t="s">
        <v>10</v>
      </c>
      <c r="E23" s="61">
        <v>1</v>
      </c>
      <c r="F23" s="62">
        <v>5.99</v>
      </c>
      <c r="G23" s="62">
        <v>5.99</v>
      </c>
    </row>
    <row r="24" spans="1:7" x14ac:dyDescent="0.4">
      <c r="A24" s="58">
        <v>1019</v>
      </c>
      <c r="B24" s="59">
        <v>45451.447685185187</v>
      </c>
      <c r="C24" s="58" t="s">
        <v>43</v>
      </c>
      <c r="D24" s="61" t="s">
        <v>12</v>
      </c>
      <c r="E24" s="61">
        <v>1</v>
      </c>
      <c r="F24" s="62">
        <v>1.95</v>
      </c>
      <c r="G24" s="62">
        <v>1.95</v>
      </c>
    </row>
    <row r="25" spans="1:7" x14ac:dyDescent="0.4">
      <c r="A25" s="58">
        <v>1019</v>
      </c>
      <c r="B25" s="59">
        <v>45451.447685185187</v>
      </c>
      <c r="C25" s="58" t="s">
        <v>43</v>
      </c>
      <c r="D25" s="61" t="s">
        <v>14</v>
      </c>
      <c r="E25" s="61">
        <v>1</v>
      </c>
      <c r="F25" s="62">
        <v>3.49</v>
      </c>
      <c r="G25" s="62">
        <v>3.49</v>
      </c>
    </row>
    <row r="26" spans="1:7" x14ac:dyDescent="0.4">
      <c r="A26" s="58">
        <v>1019</v>
      </c>
      <c r="B26" s="59">
        <v>45451.447685185187</v>
      </c>
      <c r="C26" s="58" t="s">
        <v>43</v>
      </c>
      <c r="D26" s="61" t="s">
        <v>14</v>
      </c>
      <c r="E26" s="61">
        <v>1</v>
      </c>
      <c r="F26" s="62">
        <v>3.49</v>
      </c>
      <c r="G26" s="62">
        <v>3.49</v>
      </c>
    </row>
    <row r="27" spans="1:7" x14ac:dyDescent="0.4">
      <c r="A27" s="58">
        <v>1019</v>
      </c>
      <c r="B27" s="59">
        <v>45451.447685185187</v>
      </c>
      <c r="C27" s="58" t="s">
        <v>43</v>
      </c>
      <c r="D27" s="61" t="s">
        <v>10</v>
      </c>
      <c r="E27" s="61">
        <v>1</v>
      </c>
      <c r="F27" s="62">
        <v>5.99</v>
      </c>
      <c r="G27" s="62">
        <v>5.99</v>
      </c>
    </row>
    <row r="28" spans="1:7" x14ac:dyDescent="0.4">
      <c r="A28" s="58">
        <v>1019</v>
      </c>
      <c r="B28" s="59">
        <v>45451.447685185187</v>
      </c>
      <c r="C28" s="58" t="s">
        <v>43</v>
      </c>
      <c r="D28" s="58" t="s">
        <v>6</v>
      </c>
      <c r="E28" s="58">
        <v>1</v>
      </c>
      <c r="F28" s="60">
        <v>2.99</v>
      </c>
      <c r="G28" s="60">
        <v>2.99</v>
      </c>
    </row>
    <row r="29" spans="1:7" x14ac:dyDescent="0.4">
      <c r="A29" s="58">
        <v>1019</v>
      </c>
      <c r="B29" s="59">
        <v>45451.447685185187</v>
      </c>
      <c r="C29" s="58" t="s">
        <v>43</v>
      </c>
      <c r="D29" s="61" t="s">
        <v>10</v>
      </c>
      <c r="E29" s="61">
        <v>1</v>
      </c>
      <c r="F29" s="62">
        <v>5.99</v>
      </c>
      <c r="G29" s="62">
        <v>5.99</v>
      </c>
    </row>
    <row r="30" spans="1:7" x14ac:dyDescent="0.4">
      <c r="A30" s="58">
        <v>1019</v>
      </c>
      <c r="B30" s="59">
        <v>45451.447685185187</v>
      </c>
      <c r="C30" s="58" t="s">
        <v>43</v>
      </c>
      <c r="D30" s="61" t="s">
        <v>8</v>
      </c>
      <c r="E30" s="61">
        <v>1</v>
      </c>
      <c r="F30" s="62">
        <v>0.99</v>
      </c>
      <c r="G30" s="62">
        <v>0.99</v>
      </c>
    </row>
    <row r="31" spans="1:7" x14ac:dyDescent="0.4">
      <c r="A31" s="58">
        <v>1019</v>
      </c>
      <c r="B31" s="59">
        <v>45451.447685185187</v>
      </c>
      <c r="C31" s="58" t="s">
        <v>43</v>
      </c>
      <c r="D31" s="58" t="s">
        <v>6</v>
      </c>
      <c r="E31" s="58">
        <v>1</v>
      </c>
      <c r="F31" s="60">
        <v>2.99</v>
      </c>
      <c r="G31" s="60">
        <v>2.99</v>
      </c>
    </row>
    <row r="32" spans="1:7" x14ac:dyDescent="0.4">
      <c r="A32" s="58">
        <v>1019</v>
      </c>
      <c r="B32" s="59">
        <v>45451.447685185187</v>
      </c>
      <c r="C32" s="58" t="s">
        <v>43</v>
      </c>
      <c r="D32" s="61" t="s">
        <v>14</v>
      </c>
      <c r="E32" s="61">
        <v>1</v>
      </c>
      <c r="F32" s="62">
        <v>3.49</v>
      </c>
      <c r="G32" s="62">
        <v>3.49</v>
      </c>
    </row>
    <row r="33" spans="1:7" x14ac:dyDescent="0.4">
      <c r="A33" s="58">
        <v>1019</v>
      </c>
      <c r="B33" s="59">
        <v>45451.447685185187</v>
      </c>
      <c r="C33" s="58" t="s">
        <v>43</v>
      </c>
      <c r="D33" s="61" t="s">
        <v>12</v>
      </c>
      <c r="E33" s="61">
        <v>1</v>
      </c>
      <c r="F33" s="62">
        <v>1.95</v>
      </c>
      <c r="G33" s="62">
        <v>1.95</v>
      </c>
    </row>
    <row r="34" spans="1:7" x14ac:dyDescent="0.4">
      <c r="A34" s="58">
        <v>1019</v>
      </c>
      <c r="B34" s="59">
        <v>45451.447685185187</v>
      </c>
      <c r="C34" s="58" t="s">
        <v>43</v>
      </c>
      <c r="D34" s="58" t="s">
        <v>6</v>
      </c>
      <c r="E34" s="58">
        <v>1</v>
      </c>
      <c r="F34" s="60">
        <v>2.99</v>
      </c>
      <c r="G34" s="60">
        <v>2.99</v>
      </c>
    </row>
    <row r="35" spans="1:7" x14ac:dyDescent="0.4">
      <c r="A35" s="58">
        <v>1019</v>
      </c>
      <c r="B35" s="59">
        <v>45451.447685185187</v>
      </c>
      <c r="C35" s="58" t="s">
        <v>43</v>
      </c>
      <c r="D35" s="58" t="s">
        <v>6</v>
      </c>
      <c r="E35" s="58">
        <v>1</v>
      </c>
      <c r="F35" s="60">
        <v>2.99</v>
      </c>
      <c r="G35" s="60">
        <v>2.99</v>
      </c>
    </row>
    <row r="36" spans="1:7" x14ac:dyDescent="0.4">
      <c r="A36" s="66">
        <v>1020</v>
      </c>
      <c r="B36" s="67">
        <v>45451.456979166665</v>
      </c>
      <c r="C36" s="66" t="s">
        <v>43</v>
      </c>
      <c r="D36" s="66" t="s">
        <v>6</v>
      </c>
      <c r="E36" s="66">
        <v>1</v>
      </c>
      <c r="F36" s="68">
        <v>2.99</v>
      </c>
      <c r="G36" s="68">
        <v>2.99</v>
      </c>
    </row>
    <row r="37" spans="1:7" x14ac:dyDescent="0.4">
      <c r="A37" s="66">
        <v>1020</v>
      </c>
      <c r="B37" s="67">
        <v>45451.456979166665</v>
      </c>
      <c r="C37" s="66" t="s">
        <v>43</v>
      </c>
      <c r="D37" s="66" t="s">
        <v>24</v>
      </c>
      <c r="E37" s="66">
        <v>1</v>
      </c>
      <c r="F37" s="68">
        <v>4.45</v>
      </c>
      <c r="G37" s="68">
        <v>4.45</v>
      </c>
    </row>
    <row r="38" spans="1:7" x14ac:dyDescent="0.4">
      <c r="A38" s="66">
        <v>1020</v>
      </c>
      <c r="B38" s="67">
        <v>45451.456979166665</v>
      </c>
      <c r="C38" s="66" t="s">
        <v>43</v>
      </c>
      <c r="D38" s="66" t="s">
        <v>10</v>
      </c>
      <c r="E38" s="66">
        <v>1</v>
      </c>
      <c r="F38" s="68">
        <v>5.99</v>
      </c>
      <c r="G38" s="68">
        <v>5.99</v>
      </c>
    </row>
    <row r="39" spans="1:7" x14ac:dyDescent="0.4">
      <c r="A39" s="66">
        <v>1021</v>
      </c>
      <c r="B39" s="67">
        <v>45451.460856481484</v>
      </c>
      <c r="C39" s="66" t="s">
        <v>43</v>
      </c>
      <c r="D39" s="66" t="s">
        <v>14</v>
      </c>
      <c r="E39" s="66">
        <v>1</v>
      </c>
      <c r="F39" s="68">
        <v>3.49</v>
      </c>
      <c r="G39" s="68">
        <v>3.49</v>
      </c>
    </row>
    <row r="40" spans="1:7" x14ac:dyDescent="0.4">
      <c r="A40" s="66">
        <v>1021</v>
      </c>
      <c r="B40" s="67">
        <v>45451.460856481484</v>
      </c>
      <c r="C40" s="66" t="s">
        <v>43</v>
      </c>
      <c r="D40" s="69" t="s">
        <v>24</v>
      </c>
      <c r="E40" s="69">
        <v>1</v>
      </c>
      <c r="F40" s="70">
        <v>4.45</v>
      </c>
      <c r="G40" s="70">
        <v>4.45</v>
      </c>
    </row>
    <row r="41" spans="1:7" x14ac:dyDescent="0.4">
      <c r="A41" s="66">
        <v>1021</v>
      </c>
      <c r="B41" s="67">
        <v>45451.460856481484</v>
      </c>
      <c r="C41" s="66" t="s">
        <v>43</v>
      </c>
      <c r="D41" s="66" t="s">
        <v>14</v>
      </c>
      <c r="E41" s="66">
        <v>1</v>
      </c>
      <c r="F41" s="68">
        <v>3.49</v>
      </c>
      <c r="G41" s="68">
        <v>3.49</v>
      </c>
    </row>
    <row r="42" spans="1:7" x14ac:dyDescent="0.4">
      <c r="A42" s="66">
        <v>1021</v>
      </c>
      <c r="B42" s="67">
        <v>45451.460856481484</v>
      </c>
      <c r="C42" s="66" t="s">
        <v>43</v>
      </c>
      <c r="D42" s="66" t="s">
        <v>6</v>
      </c>
      <c r="E42" s="66">
        <v>1</v>
      </c>
      <c r="F42" s="68">
        <v>2.99</v>
      </c>
      <c r="G42" s="68">
        <v>2.99</v>
      </c>
    </row>
    <row r="43" spans="1:7" x14ac:dyDescent="0.4">
      <c r="A43" s="66">
        <v>1022</v>
      </c>
      <c r="B43" s="67">
        <v>45451.462326388886</v>
      </c>
      <c r="C43" s="66" t="s">
        <v>43</v>
      </c>
      <c r="D43" s="69" t="s">
        <v>24</v>
      </c>
      <c r="E43" s="69">
        <v>1</v>
      </c>
      <c r="F43" s="70">
        <v>4.45</v>
      </c>
      <c r="G43" s="70">
        <v>4.45</v>
      </c>
    </row>
    <row r="44" spans="1:7" x14ac:dyDescent="0.4">
      <c r="A44" s="66">
        <v>1022</v>
      </c>
      <c r="B44" s="67">
        <v>45451.462326388886</v>
      </c>
      <c r="C44" s="66" t="s">
        <v>43</v>
      </c>
      <c r="D44" s="66" t="s">
        <v>6</v>
      </c>
      <c r="E44" s="66">
        <v>1</v>
      </c>
      <c r="F44" s="68">
        <v>2.99</v>
      </c>
      <c r="G44" s="68">
        <v>2.99</v>
      </c>
    </row>
    <row r="45" spans="1:7" x14ac:dyDescent="0.4">
      <c r="A45" s="66">
        <v>1022</v>
      </c>
      <c r="B45" s="67">
        <v>45451.462326388886</v>
      </c>
      <c r="C45" s="66" t="s">
        <v>43</v>
      </c>
      <c r="D45" s="69" t="s">
        <v>24</v>
      </c>
      <c r="E45" s="69">
        <v>1</v>
      </c>
      <c r="F45" s="70">
        <v>4.45</v>
      </c>
      <c r="G45" s="70">
        <v>4.45</v>
      </c>
    </row>
    <row r="46" spans="1:7" x14ac:dyDescent="0.4">
      <c r="A46" s="66">
        <v>1022</v>
      </c>
      <c r="B46" s="67">
        <v>45451.462326388886</v>
      </c>
      <c r="C46" s="66" t="s">
        <v>43</v>
      </c>
      <c r="D46" s="66" t="s">
        <v>6</v>
      </c>
      <c r="E46" s="66">
        <v>1</v>
      </c>
      <c r="F46" s="68">
        <v>2.99</v>
      </c>
      <c r="G46" s="68">
        <v>2.99</v>
      </c>
    </row>
    <row r="47" spans="1:7" x14ac:dyDescent="0.4">
      <c r="A47" s="66">
        <v>1023</v>
      </c>
      <c r="B47" s="67">
        <v>45451.471053240741</v>
      </c>
      <c r="C47" s="66" t="s">
        <v>43</v>
      </c>
      <c r="D47" s="66" t="s">
        <v>6</v>
      </c>
      <c r="E47" s="66">
        <v>1</v>
      </c>
      <c r="F47" s="68">
        <v>2.99</v>
      </c>
      <c r="G47" s="68">
        <v>2.99</v>
      </c>
    </row>
    <row r="48" spans="1:7" x14ac:dyDescent="0.4">
      <c r="A48" s="66">
        <v>1023</v>
      </c>
      <c r="B48" s="67">
        <v>45451.471053240741</v>
      </c>
      <c r="C48" s="66" t="s">
        <v>43</v>
      </c>
      <c r="D48" s="66" t="s">
        <v>8</v>
      </c>
      <c r="E48" s="66">
        <v>1</v>
      </c>
      <c r="F48" s="68">
        <v>0.99</v>
      </c>
      <c r="G48" s="68">
        <v>0.99</v>
      </c>
    </row>
    <row r="49" spans="1:7" x14ac:dyDescent="0.4">
      <c r="A49" s="66">
        <v>1023</v>
      </c>
      <c r="B49" s="67">
        <v>45451.471053240741</v>
      </c>
      <c r="C49" s="66" t="s">
        <v>43</v>
      </c>
      <c r="D49" s="66" t="s">
        <v>10</v>
      </c>
      <c r="E49" s="66">
        <v>1</v>
      </c>
      <c r="F49" s="68">
        <v>5.99</v>
      </c>
      <c r="G49" s="68">
        <v>5.99</v>
      </c>
    </row>
    <row r="50" spans="1:7" x14ac:dyDescent="0.4">
      <c r="A50" s="66">
        <v>1023</v>
      </c>
      <c r="B50" s="67">
        <v>45451.471053240741</v>
      </c>
      <c r="C50" s="66" t="s">
        <v>43</v>
      </c>
      <c r="D50" s="69" t="s">
        <v>24</v>
      </c>
      <c r="E50" s="69">
        <v>1</v>
      </c>
      <c r="F50" s="70">
        <v>4.45</v>
      </c>
      <c r="G50" s="70">
        <v>4.45</v>
      </c>
    </row>
    <row r="51" spans="1:7" x14ac:dyDescent="0.4">
      <c r="A51" s="66">
        <v>1023</v>
      </c>
      <c r="B51" s="67">
        <v>45451.471053240741</v>
      </c>
      <c r="C51" s="66" t="s">
        <v>43</v>
      </c>
      <c r="D51" s="66" t="s">
        <v>14</v>
      </c>
      <c r="E51" s="66">
        <v>1</v>
      </c>
      <c r="F51" s="68">
        <v>3.49</v>
      </c>
      <c r="G51" s="68">
        <v>3.49</v>
      </c>
    </row>
    <row r="52" spans="1:7" x14ac:dyDescent="0.4">
      <c r="A52" s="66">
        <v>1023</v>
      </c>
      <c r="B52" s="67">
        <v>45451.471053240741</v>
      </c>
      <c r="C52" s="66" t="s">
        <v>43</v>
      </c>
      <c r="D52" s="66" t="s">
        <v>14</v>
      </c>
      <c r="E52" s="66">
        <v>1</v>
      </c>
      <c r="F52" s="68">
        <v>3.49</v>
      </c>
      <c r="G52" s="68">
        <v>3.49</v>
      </c>
    </row>
    <row r="53" spans="1:7" x14ac:dyDescent="0.4">
      <c r="A53" s="66">
        <v>1024</v>
      </c>
      <c r="B53" s="67">
        <v>45451.474409722221</v>
      </c>
      <c r="C53" s="66" t="s">
        <v>43</v>
      </c>
      <c r="D53" s="66" t="s">
        <v>6</v>
      </c>
      <c r="E53" s="66">
        <v>1</v>
      </c>
      <c r="F53" s="68">
        <v>2.99</v>
      </c>
      <c r="G53" s="68">
        <v>2.99</v>
      </c>
    </row>
    <row r="54" spans="1:7" x14ac:dyDescent="0.4">
      <c r="A54" s="66">
        <v>1024</v>
      </c>
      <c r="B54" s="67">
        <v>45451.474409722221</v>
      </c>
      <c r="C54" s="66" t="s">
        <v>43</v>
      </c>
      <c r="D54" s="66" t="s">
        <v>16</v>
      </c>
      <c r="E54" s="66">
        <v>1</v>
      </c>
      <c r="F54" s="68">
        <v>1.99</v>
      </c>
      <c r="G54" s="68">
        <v>1.99</v>
      </c>
    </row>
    <row r="55" spans="1:7" x14ac:dyDescent="0.4">
      <c r="A55" s="66">
        <v>1024</v>
      </c>
      <c r="B55" s="67">
        <v>45451.474409722221</v>
      </c>
      <c r="C55" s="66" t="s">
        <v>43</v>
      </c>
      <c r="D55" s="66" t="s">
        <v>8</v>
      </c>
      <c r="E55" s="66">
        <v>1</v>
      </c>
      <c r="F55" s="68">
        <v>0.99</v>
      </c>
      <c r="G55" s="68">
        <v>0.99</v>
      </c>
    </row>
    <row r="56" spans="1:7" x14ac:dyDescent="0.4">
      <c r="A56" s="66">
        <v>1024</v>
      </c>
      <c r="B56" s="67">
        <v>45451.474409722221</v>
      </c>
      <c r="C56" s="66" t="s">
        <v>43</v>
      </c>
      <c r="D56" s="69" t="s">
        <v>24</v>
      </c>
      <c r="E56" s="69">
        <v>1</v>
      </c>
      <c r="F56" s="70">
        <v>4.45</v>
      </c>
      <c r="G56" s="70">
        <v>4.45</v>
      </c>
    </row>
    <row r="57" spans="1:7" x14ac:dyDescent="0.4">
      <c r="A57" s="66">
        <v>1024</v>
      </c>
      <c r="B57" s="67">
        <v>45451.474409722221</v>
      </c>
      <c r="C57" s="66" t="s">
        <v>43</v>
      </c>
      <c r="D57" s="66" t="s">
        <v>18</v>
      </c>
      <c r="E57" s="66">
        <v>1</v>
      </c>
      <c r="F57" s="68">
        <v>3.99</v>
      </c>
      <c r="G57" s="68">
        <v>3.99</v>
      </c>
    </row>
    <row r="58" spans="1:7" x14ac:dyDescent="0.4">
      <c r="A58" s="66">
        <v>1025</v>
      </c>
      <c r="B58" s="67">
        <v>45451.515497685185</v>
      </c>
      <c r="C58" s="66" t="s">
        <v>43</v>
      </c>
      <c r="D58" s="66" t="s">
        <v>6</v>
      </c>
      <c r="E58" s="66">
        <v>1</v>
      </c>
      <c r="F58" s="68">
        <v>2.99</v>
      </c>
      <c r="G58" s="68">
        <v>2.99</v>
      </c>
    </row>
    <row r="59" spans="1:7" x14ac:dyDescent="0.4">
      <c r="A59" s="66">
        <v>1025</v>
      </c>
      <c r="B59" s="67">
        <v>45451.515497685185</v>
      </c>
      <c r="C59" s="66" t="s">
        <v>43</v>
      </c>
      <c r="D59" s="66" t="s">
        <v>14</v>
      </c>
      <c r="E59" s="66">
        <v>1</v>
      </c>
      <c r="F59" s="68">
        <v>3.49</v>
      </c>
      <c r="G59" s="68">
        <v>3.49</v>
      </c>
    </row>
    <row r="60" spans="1:7" x14ac:dyDescent="0.4">
      <c r="A60" s="66">
        <v>1025</v>
      </c>
      <c r="B60" s="67">
        <v>45451.515497685185</v>
      </c>
      <c r="C60" s="66" t="s">
        <v>43</v>
      </c>
      <c r="D60" s="66" t="s">
        <v>10</v>
      </c>
      <c r="E60" s="66">
        <v>1</v>
      </c>
      <c r="F60" s="68">
        <v>5.99</v>
      </c>
      <c r="G60" s="68">
        <v>5.99</v>
      </c>
    </row>
    <row r="61" spans="1:7" x14ac:dyDescent="0.4">
      <c r="A61" s="66">
        <v>1025</v>
      </c>
      <c r="B61" s="67">
        <v>45451.515497685185</v>
      </c>
      <c r="C61" s="66" t="s">
        <v>43</v>
      </c>
      <c r="D61" s="66" t="s">
        <v>6</v>
      </c>
      <c r="E61" s="66">
        <v>1</v>
      </c>
      <c r="F61" s="68">
        <v>2.99</v>
      </c>
      <c r="G61" s="68">
        <v>2.99</v>
      </c>
    </row>
    <row r="62" spans="1:7" x14ac:dyDescent="0.4">
      <c r="A62" s="66">
        <v>1026</v>
      </c>
      <c r="B62" s="67">
        <v>45451.522870370369</v>
      </c>
      <c r="C62" s="66" t="s">
        <v>43</v>
      </c>
      <c r="D62" s="66" t="s">
        <v>14</v>
      </c>
      <c r="E62" s="66">
        <v>1</v>
      </c>
      <c r="F62" s="68">
        <v>3.49</v>
      </c>
      <c r="G62" s="68">
        <v>3.49</v>
      </c>
    </row>
    <row r="63" spans="1:7" x14ac:dyDescent="0.4">
      <c r="A63" s="66">
        <v>1026</v>
      </c>
      <c r="B63" s="67">
        <v>45451.522870370369</v>
      </c>
      <c r="C63" s="66" t="s">
        <v>43</v>
      </c>
      <c r="D63" s="69" t="s">
        <v>12</v>
      </c>
      <c r="E63" s="69">
        <v>1</v>
      </c>
      <c r="F63" s="70">
        <v>1.95</v>
      </c>
      <c r="G63" s="70">
        <v>1.95</v>
      </c>
    </row>
    <row r="64" spans="1:7" x14ac:dyDescent="0.4">
      <c r="A64" s="66">
        <v>1026</v>
      </c>
      <c r="B64" s="67">
        <v>45451.522870370369</v>
      </c>
      <c r="C64" s="66" t="s">
        <v>43</v>
      </c>
      <c r="D64" s="66" t="s">
        <v>16</v>
      </c>
      <c r="E64" s="66">
        <v>1</v>
      </c>
      <c r="F64" s="68">
        <v>1.99</v>
      </c>
      <c r="G64" s="68">
        <v>1.99</v>
      </c>
    </row>
    <row r="65" spans="1:7" x14ac:dyDescent="0.4">
      <c r="A65" s="66">
        <v>1026</v>
      </c>
      <c r="B65" s="67">
        <v>45451.522870370369</v>
      </c>
      <c r="C65" s="66" t="s">
        <v>43</v>
      </c>
      <c r="D65" s="66" t="s">
        <v>18</v>
      </c>
      <c r="E65" s="66">
        <v>1</v>
      </c>
      <c r="F65" s="68">
        <v>3.99</v>
      </c>
      <c r="G65" s="68">
        <v>3.99</v>
      </c>
    </row>
    <row r="66" spans="1:7" x14ac:dyDescent="0.4">
      <c r="A66" s="58"/>
      <c r="B66" s="59"/>
      <c r="C66" s="58"/>
      <c r="D66" s="58"/>
      <c r="E66" s="58"/>
      <c r="F66" s="60"/>
      <c r="G66" s="60"/>
    </row>
    <row r="67" spans="1:7" x14ac:dyDescent="0.4">
      <c r="A67" s="63"/>
      <c r="B67" s="64"/>
      <c r="C67" s="63"/>
      <c r="D67" s="63"/>
      <c r="E67" s="63"/>
      <c r="F67" s="65"/>
      <c r="G67" s="65"/>
    </row>
    <row r="68" spans="1:7" x14ac:dyDescent="0.4">
      <c r="A68" s="63"/>
      <c r="B68" s="64"/>
      <c r="C68" s="63"/>
      <c r="D68" s="63"/>
      <c r="E68" s="63"/>
      <c r="F68" s="65"/>
      <c r="G68" s="65"/>
    </row>
    <row r="69" spans="1:7" x14ac:dyDescent="0.4">
      <c r="A69" s="63"/>
      <c r="B69" s="64"/>
      <c r="C69" s="63"/>
      <c r="D69" s="63"/>
      <c r="E69" s="63"/>
      <c r="F69" s="65"/>
      <c r="G69" s="65"/>
    </row>
    <row r="70" spans="1:7" x14ac:dyDescent="0.4">
      <c r="A70" s="63"/>
      <c r="B70" s="64"/>
      <c r="C70" s="63"/>
      <c r="D70" s="63"/>
      <c r="E70" s="63"/>
      <c r="F70" s="65"/>
      <c r="G70" s="65"/>
    </row>
    <row r="71" spans="1:7" x14ac:dyDescent="0.4">
      <c r="A71" s="63"/>
      <c r="B71" s="64"/>
      <c r="C71" s="63"/>
      <c r="D71" s="63"/>
      <c r="E71" s="63"/>
      <c r="F71" s="65"/>
      <c r="G71" s="65"/>
    </row>
    <row r="72" spans="1:7" x14ac:dyDescent="0.4">
      <c r="A72" s="63"/>
      <c r="B72" s="64"/>
      <c r="C72" s="63"/>
      <c r="D72" s="63"/>
      <c r="E72" s="63"/>
      <c r="F72" s="65"/>
      <c r="G72" s="65"/>
    </row>
    <row r="73" spans="1:7" x14ac:dyDescent="0.4">
      <c r="A73" s="63"/>
      <c r="B73" s="64"/>
      <c r="C73" s="63"/>
      <c r="D73" s="63"/>
      <c r="E73" s="63"/>
      <c r="F73" s="65"/>
      <c r="G73" s="65"/>
    </row>
    <row r="74" spans="1:7" x14ac:dyDescent="0.4">
      <c r="A74" s="63"/>
      <c r="B74" s="64"/>
      <c r="C74" s="63"/>
      <c r="D74" s="63"/>
      <c r="E74" s="63"/>
      <c r="F74" s="65"/>
      <c r="G74" s="65"/>
    </row>
    <row r="75" spans="1:7" x14ac:dyDescent="0.4">
      <c r="A75" s="63"/>
      <c r="B75" s="64"/>
      <c r="C75" s="63"/>
      <c r="D75" s="63"/>
      <c r="E75" s="63"/>
      <c r="F75" s="65"/>
      <c r="G75" s="65"/>
    </row>
    <row r="76" spans="1:7" x14ac:dyDescent="0.4">
      <c r="A76" s="63"/>
      <c r="B76" s="64"/>
      <c r="C76" s="63"/>
      <c r="D76" s="63"/>
      <c r="E76" s="63"/>
      <c r="F76" s="65"/>
      <c r="G76" s="65"/>
    </row>
    <row r="77" spans="1:7" x14ac:dyDescent="0.4">
      <c r="A77" s="63"/>
      <c r="B77" s="64"/>
      <c r="C77" s="63"/>
      <c r="D77" s="63"/>
      <c r="E77" s="63"/>
      <c r="F77" s="65"/>
      <c r="G77" s="65"/>
    </row>
    <row r="78" spans="1:7" x14ac:dyDescent="0.4">
      <c r="A78" s="63"/>
      <c r="B78" s="64"/>
      <c r="C78" s="63"/>
      <c r="D78" s="63"/>
      <c r="E78" s="63"/>
      <c r="F78" s="65"/>
      <c r="G78" s="65"/>
    </row>
    <row r="79" spans="1:7" x14ac:dyDescent="0.4">
      <c r="A79" s="63"/>
      <c r="B79" s="64"/>
      <c r="C79" s="63"/>
      <c r="D79" s="63"/>
      <c r="E79" s="63"/>
      <c r="F79" s="65"/>
      <c r="G79" s="65"/>
    </row>
    <row r="80" spans="1:7" x14ac:dyDescent="0.4">
      <c r="A80" s="63"/>
      <c r="B80" s="64"/>
      <c r="C80" s="63"/>
      <c r="D80" s="63"/>
      <c r="E80" s="63"/>
      <c r="F80" s="65"/>
      <c r="G80" s="65"/>
    </row>
    <row r="81" spans="1:7" x14ac:dyDescent="0.4">
      <c r="A81" s="63"/>
      <c r="B81" s="64"/>
      <c r="C81" s="63"/>
      <c r="D81" s="63"/>
      <c r="E81" s="63"/>
      <c r="F81" s="65"/>
      <c r="G81" s="65"/>
    </row>
    <row r="82" spans="1:7" x14ac:dyDescent="0.4">
      <c r="A82" s="63"/>
      <c r="B82" s="64"/>
      <c r="C82" s="63"/>
      <c r="D82" s="63"/>
      <c r="E82" s="63"/>
      <c r="F82" s="65"/>
      <c r="G82" s="65"/>
    </row>
    <row r="83" spans="1:7" x14ac:dyDescent="0.4">
      <c r="A83" s="63"/>
      <c r="B83" s="64"/>
      <c r="C83" s="63"/>
      <c r="D83" s="63"/>
      <c r="E83" s="63"/>
      <c r="F83" s="65"/>
      <c r="G83" s="65"/>
    </row>
    <row r="84" spans="1:7" x14ac:dyDescent="0.4">
      <c r="A84" s="63"/>
      <c r="B84" s="64"/>
      <c r="C84" s="63"/>
      <c r="D84" s="63"/>
      <c r="E84" s="63"/>
      <c r="F84" s="65"/>
      <c r="G84" s="65"/>
    </row>
    <row r="85" spans="1:7" x14ac:dyDescent="0.4">
      <c r="A85" s="63"/>
      <c r="B85" s="64"/>
      <c r="C85" s="63"/>
      <c r="D85" s="63"/>
      <c r="E85" s="63"/>
      <c r="F85" s="65"/>
      <c r="G85" s="65"/>
    </row>
    <row r="86" spans="1:7" x14ac:dyDescent="0.4">
      <c r="A86" s="63"/>
      <c r="B86" s="64"/>
      <c r="C86" s="63"/>
      <c r="D86" s="63"/>
      <c r="E86" s="63"/>
      <c r="F86" s="65"/>
      <c r="G86" s="65"/>
    </row>
    <row r="87" spans="1:7" x14ac:dyDescent="0.4">
      <c r="A87" s="63"/>
      <c r="B87" s="64"/>
      <c r="C87" s="63"/>
      <c r="D87" s="63"/>
      <c r="E87" s="63"/>
      <c r="F87" s="65"/>
      <c r="G87" s="65"/>
    </row>
    <row r="88" spans="1:7" x14ac:dyDescent="0.4">
      <c r="A88" s="63"/>
      <c r="B88" s="64"/>
      <c r="C88" s="63"/>
      <c r="D88" s="63"/>
      <c r="E88" s="63"/>
      <c r="F88" s="65"/>
      <c r="G88" s="65"/>
    </row>
    <row r="89" spans="1:7" x14ac:dyDescent="0.4">
      <c r="A89" s="63"/>
      <c r="B89" s="64"/>
      <c r="C89" s="63"/>
      <c r="D89" s="63"/>
      <c r="E89" s="63"/>
      <c r="F89" s="65"/>
      <c r="G89" s="65"/>
    </row>
    <row r="90" spans="1:7" x14ac:dyDescent="0.4">
      <c r="A90" s="63"/>
      <c r="B90" s="64"/>
      <c r="C90" s="63"/>
      <c r="D90" s="63"/>
      <c r="E90" s="63"/>
      <c r="F90" s="65"/>
      <c r="G90" s="65"/>
    </row>
    <row r="91" spans="1:7" x14ac:dyDescent="0.4">
      <c r="A91" s="63"/>
      <c r="B91" s="64"/>
      <c r="C91" s="63"/>
      <c r="D91" s="63"/>
      <c r="E91" s="63"/>
      <c r="F91" s="65"/>
      <c r="G91" s="65"/>
    </row>
    <row r="92" spans="1:7" x14ac:dyDescent="0.4">
      <c r="A92" s="63"/>
      <c r="B92" s="64"/>
      <c r="C92" s="63"/>
      <c r="D92" s="63"/>
      <c r="E92" s="63"/>
      <c r="F92" s="65"/>
      <c r="G92" s="63"/>
    </row>
    <row r="93" spans="1:7" x14ac:dyDescent="0.4">
      <c r="A93" s="63"/>
      <c r="B93" s="64"/>
      <c r="C93" s="63"/>
      <c r="D93" s="63"/>
      <c r="E93" s="63"/>
      <c r="F93" s="65"/>
      <c r="G93" s="65"/>
    </row>
    <row r="94" spans="1:7" x14ac:dyDescent="0.4">
      <c r="A94" s="63"/>
      <c r="B94" s="64"/>
      <c r="C94" s="63"/>
      <c r="D94" s="63"/>
      <c r="E94" s="63"/>
      <c r="F94" s="65"/>
      <c r="G94" s="63"/>
    </row>
    <row r="95" spans="1:7" x14ac:dyDescent="0.4">
      <c r="A95" s="63"/>
      <c r="B95" s="64"/>
      <c r="C95" s="63"/>
      <c r="D95" s="63"/>
      <c r="E95" s="63"/>
      <c r="F95" s="65"/>
      <c r="G95" s="65"/>
    </row>
    <row r="96" spans="1:7" x14ac:dyDescent="0.4">
      <c r="A96" s="63"/>
      <c r="B96" s="64"/>
      <c r="C96" s="63"/>
      <c r="D96" s="63"/>
      <c r="E96" s="63"/>
      <c r="F96" s="65"/>
      <c r="G96" s="65"/>
    </row>
    <row r="97" spans="1:7" x14ac:dyDescent="0.4">
      <c r="A97" s="63"/>
      <c r="B97" s="64"/>
      <c r="C97" s="63"/>
      <c r="D97" s="63"/>
      <c r="E97" s="63"/>
      <c r="F97" s="65"/>
      <c r="G97" s="65"/>
    </row>
    <row r="98" spans="1:7" x14ac:dyDescent="0.4">
      <c r="A98" s="63"/>
      <c r="B98" s="64"/>
      <c r="C98" s="63"/>
      <c r="D98" s="63"/>
      <c r="E98" s="63"/>
      <c r="F98" s="65"/>
      <c r="G98" s="65"/>
    </row>
    <row r="99" spans="1:7" x14ac:dyDescent="0.4">
      <c r="A99" s="63"/>
      <c r="B99" s="64"/>
      <c r="C99" s="63"/>
      <c r="D99" s="63"/>
      <c r="E99" s="63"/>
      <c r="F99" s="65"/>
      <c r="G99" s="65"/>
    </row>
    <row r="100" spans="1:7" x14ac:dyDescent="0.4">
      <c r="A100" s="63"/>
      <c r="B100" s="64"/>
      <c r="C100" s="63"/>
      <c r="D100" s="63"/>
      <c r="E100" s="63"/>
      <c r="F100" s="65"/>
      <c r="G100" s="65"/>
    </row>
    <row r="101" spans="1:7" x14ac:dyDescent="0.4">
      <c r="A101" s="63"/>
      <c r="B101" s="64"/>
      <c r="C101" s="63"/>
      <c r="D101" s="63"/>
      <c r="E101" s="63"/>
      <c r="F101" s="65"/>
      <c r="G101" s="65"/>
    </row>
    <row r="102" spans="1:7" x14ac:dyDescent="0.4">
      <c r="A102" s="63"/>
      <c r="B102" s="64"/>
      <c r="C102" s="63"/>
      <c r="D102" s="63"/>
      <c r="E102" s="63"/>
      <c r="F102" s="65"/>
      <c r="G102" s="65"/>
    </row>
    <row r="103" spans="1:7" x14ac:dyDescent="0.4">
      <c r="A103" s="63"/>
      <c r="B103" s="64"/>
      <c r="C103" s="63"/>
      <c r="D103" s="63"/>
      <c r="E103" s="63"/>
      <c r="F103" s="65"/>
      <c r="G103" s="65"/>
    </row>
    <row r="104" spans="1:7" x14ac:dyDescent="0.4">
      <c r="A104" s="63"/>
      <c r="B104" s="64"/>
      <c r="C104" s="63"/>
      <c r="D104" s="63"/>
      <c r="E104" s="63"/>
      <c r="F104" s="65"/>
      <c r="G104" s="65"/>
    </row>
    <row r="105" spans="1:7" x14ac:dyDescent="0.4">
      <c r="A105" s="63"/>
      <c r="B105" s="64"/>
      <c r="C105" s="63"/>
      <c r="D105" s="63"/>
      <c r="E105" s="63"/>
      <c r="F105" s="65"/>
      <c r="G105" s="65"/>
    </row>
    <row r="106" spans="1:7" x14ac:dyDescent="0.4">
      <c r="A106" s="63"/>
      <c r="B106" s="64"/>
      <c r="C106" s="63"/>
      <c r="D106" s="63"/>
      <c r="E106" s="63"/>
      <c r="F106" s="65"/>
      <c r="G106" s="65"/>
    </row>
    <row r="107" spans="1:7" x14ac:dyDescent="0.4">
      <c r="A107" s="63"/>
      <c r="B107" s="64"/>
      <c r="C107" s="63"/>
      <c r="D107" s="63"/>
      <c r="E107" s="63"/>
      <c r="F107" s="65"/>
      <c r="G107" s="65"/>
    </row>
    <row r="108" spans="1:7" x14ac:dyDescent="0.4">
      <c r="A108" s="63"/>
      <c r="B108" s="64"/>
      <c r="C108" s="63"/>
      <c r="D108" s="63"/>
      <c r="E108" s="63"/>
      <c r="F108" s="65"/>
      <c r="G108" s="65"/>
    </row>
    <row r="109" spans="1:7" x14ac:dyDescent="0.4">
      <c r="A109" s="63"/>
      <c r="B109" s="64"/>
      <c r="C109" s="63"/>
      <c r="D109" s="63"/>
      <c r="E109" s="63"/>
      <c r="F109" s="65"/>
      <c r="G109" s="65"/>
    </row>
    <row r="110" spans="1:7" x14ac:dyDescent="0.4">
      <c r="A110" s="63"/>
      <c r="B110" s="64"/>
      <c r="C110" s="63"/>
      <c r="D110" s="63"/>
      <c r="E110" s="63"/>
      <c r="F110" s="65"/>
      <c r="G110" s="65"/>
    </row>
    <row r="111" spans="1:7" x14ac:dyDescent="0.4">
      <c r="A111" s="63"/>
      <c r="B111" s="64"/>
      <c r="C111" s="63"/>
      <c r="D111" s="63"/>
      <c r="E111" s="63"/>
      <c r="F111" s="65"/>
      <c r="G111" s="63"/>
    </row>
    <row r="112" spans="1:7" x14ac:dyDescent="0.4">
      <c r="A112" s="63"/>
      <c r="B112" s="64"/>
      <c r="C112" s="63"/>
      <c r="D112" s="63"/>
      <c r="E112" s="63"/>
      <c r="F112" s="63"/>
      <c r="G112" s="63"/>
    </row>
    <row r="113" spans="1:7" x14ac:dyDescent="0.4">
      <c r="A113" s="63"/>
      <c r="B113" s="64"/>
      <c r="C113" s="63"/>
      <c r="D113" s="63"/>
      <c r="E113" s="63"/>
      <c r="F113" s="65"/>
      <c r="G113" s="63"/>
    </row>
    <row r="114" spans="1:7" x14ac:dyDescent="0.4">
      <c r="A114" s="63"/>
      <c r="B114" s="64"/>
      <c r="C114" s="63"/>
      <c r="D114" s="63"/>
      <c r="E114" s="63"/>
      <c r="F114" s="65"/>
      <c r="G114" s="65"/>
    </row>
    <row r="115" spans="1:7" x14ac:dyDescent="0.4">
      <c r="A115" s="63"/>
      <c r="B115" s="64"/>
      <c r="C115" s="63"/>
      <c r="D115" s="63"/>
      <c r="E115" s="63"/>
      <c r="F115" s="65"/>
      <c r="G115" s="63"/>
    </row>
    <row r="116" spans="1:7" x14ac:dyDescent="0.4">
      <c r="A116" s="63"/>
      <c r="B116" s="64"/>
      <c r="C116" s="63"/>
      <c r="D116" s="63"/>
      <c r="E116" s="63"/>
      <c r="F116" s="65"/>
      <c r="G116" s="65"/>
    </row>
    <row r="117" spans="1:7" x14ac:dyDescent="0.4">
      <c r="A117" s="63"/>
      <c r="B117" s="64"/>
      <c r="C117" s="63"/>
      <c r="D117" s="63"/>
      <c r="E117" s="63"/>
      <c r="F117" s="65"/>
      <c r="G117" s="63"/>
    </row>
    <row r="118" spans="1:7" x14ac:dyDescent="0.4">
      <c r="A118" s="63"/>
      <c r="B118" s="64"/>
      <c r="C118" s="63"/>
      <c r="D118" s="63"/>
      <c r="E118" s="63"/>
      <c r="F118" s="65"/>
      <c r="G118" s="65"/>
    </row>
    <row r="119" spans="1:7" x14ac:dyDescent="0.4">
      <c r="A119" s="63"/>
      <c r="B119" s="64"/>
      <c r="C119" s="63"/>
      <c r="D119" s="63"/>
      <c r="E119" s="63"/>
      <c r="F119" s="65"/>
      <c r="G119" s="63"/>
    </row>
    <row r="120" spans="1:7" x14ac:dyDescent="0.4">
      <c r="A120" s="63"/>
      <c r="B120" s="64"/>
      <c r="C120" s="63"/>
      <c r="D120" s="63"/>
      <c r="E120" s="63"/>
      <c r="F120" s="65"/>
      <c r="G120" s="65"/>
    </row>
    <row r="121" spans="1:7" x14ac:dyDescent="0.4">
      <c r="A121" s="63"/>
      <c r="B121" s="64"/>
      <c r="C121" s="63"/>
      <c r="D121" s="63"/>
      <c r="E121" s="63"/>
      <c r="F121" s="65"/>
      <c r="G121" s="65"/>
    </row>
    <row r="122" spans="1:7" x14ac:dyDescent="0.4">
      <c r="A122" s="63"/>
      <c r="B122" s="64"/>
      <c r="C122" s="63"/>
      <c r="D122" s="63"/>
      <c r="E122" s="63"/>
      <c r="F122" s="65"/>
      <c r="G122" s="65"/>
    </row>
    <row r="123" spans="1:7" x14ac:dyDescent="0.4">
      <c r="A123" s="63"/>
      <c r="B123" s="64"/>
      <c r="C123" s="63"/>
      <c r="D123" s="63"/>
      <c r="E123" s="63"/>
      <c r="F123" s="65"/>
      <c r="G123" s="65"/>
    </row>
    <row r="124" spans="1:7" x14ac:dyDescent="0.4">
      <c r="A124" s="63"/>
      <c r="B124" s="64"/>
      <c r="C124" s="63"/>
      <c r="D124" s="63"/>
      <c r="E124" s="63"/>
      <c r="F124" s="65"/>
      <c r="G124" s="65"/>
    </row>
    <row r="125" spans="1:7" x14ac:dyDescent="0.4">
      <c r="A125" s="63"/>
      <c r="B125" s="64"/>
      <c r="C125" s="63"/>
      <c r="D125" s="63"/>
      <c r="E125" s="63"/>
      <c r="F125" s="65"/>
      <c r="G125" s="65"/>
    </row>
    <row r="126" spans="1:7" x14ac:dyDescent="0.4">
      <c r="A126" s="63"/>
      <c r="B126" s="64"/>
      <c r="C126" s="63"/>
      <c r="D126" s="63"/>
      <c r="E126" s="63"/>
      <c r="F126" s="65"/>
      <c r="G126" s="65"/>
    </row>
    <row r="127" spans="1:7" x14ac:dyDescent="0.4">
      <c r="A127" s="63"/>
      <c r="B127" s="64"/>
      <c r="C127" s="63"/>
      <c r="D127" s="63"/>
      <c r="E127" s="63"/>
      <c r="F127" s="65"/>
      <c r="G127" s="65"/>
    </row>
    <row r="128" spans="1:7" x14ac:dyDescent="0.4">
      <c r="A128" s="63"/>
      <c r="B128" s="64"/>
      <c r="C128" s="63"/>
      <c r="D128" s="63"/>
      <c r="E128" s="63"/>
      <c r="F128" s="65"/>
      <c r="G128" s="65"/>
    </row>
    <row r="129" spans="1:7" x14ac:dyDescent="0.4">
      <c r="A129" s="63"/>
      <c r="B129" s="64"/>
      <c r="C129" s="63"/>
      <c r="D129" s="63"/>
      <c r="E129" s="63"/>
      <c r="F129" s="65"/>
      <c r="G129" s="65"/>
    </row>
    <row r="130" spans="1:7" x14ac:dyDescent="0.4">
      <c r="A130" s="63"/>
      <c r="B130" s="64"/>
      <c r="C130" s="63"/>
      <c r="D130" s="63"/>
      <c r="E130" s="63"/>
      <c r="F130" s="65"/>
      <c r="G130" s="65"/>
    </row>
    <row r="131" spans="1:7" x14ac:dyDescent="0.4">
      <c r="A131" s="63"/>
      <c r="B131" s="64"/>
      <c r="C131" s="63"/>
      <c r="D131" s="63"/>
      <c r="E131" s="63"/>
      <c r="F131" s="65"/>
      <c r="G131" s="65"/>
    </row>
    <row r="132" spans="1:7" x14ac:dyDescent="0.4">
      <c r="A132" s="63"/>
      <c r="B132" s="64"/>
      <c r="C132" s="63"/>
      <c r="D132" s="63"/>
      <c r="E132" s="63"/>
      <c r="F132" s="65"/>
      <c r="G132" s="65"/>
    </row>
    <row r="133" spans="1:7" x14ac:dyDescent="0.4">
      <c r="A133" s="63"/>
      <c r="B133" s="64"/>
      <c r="C133" s="63"/>
      <c r="D133" s="63"/>
      <c r="E133" s="63"/>
      <c r="F133" s="65"/>
      <c r="G133" s="65"/>
    </row>
    <row r="134" spans="1:7" x14ac:dyDescent="0.4">
      <c r="A134" s="63"/>
      <c r="B134" s="64"/>
      <c r="C134" s="63"/>
      <c r="D134" s="63"/>
      <c r="E134" s="63"/>
      <c r="F134" s="65"/>
      <c r="G134" s="65"/>
    </row>
    <row r="135" spans="1:7" x14ac:dyDescent="0.4">
      <c r="A135" s="63"/>
      <c r="B135" s="64"/>
      <c r="C135" s="63"/>
      <c r="D135" s="63"/>
      <c r="E135" s="63"/>
      <c r="F135" s="65"/>
      <c r="G135" s="63"/>
    </row>
    <row r="136" spans="1:7" x14ac:dyDescent="0.4">
      <c r="A136" s="63"/>
      <c r="B136" s="64"/>
      <c r="C136" s="63"/>
      <c r="D136" s="63"/>
      <c r="E136" s="63"/>
      <c r="F136" s="65"/>
      <c r="G136" s="63"/>
    </row>
    <row r="137" spans="1:7" x14ac:dyDescent="0.4">
      <c r="A137" s="63"/>
      <c r="B137" s="64"/>
      <c r="C137" s="63"/>
      <c r="D137" s="63"/>
      <c r="E137" s="63"/>
      <c r="F137" s="65"/>
      <c r="G137" s="63"/>
    </row>
    <row r="138" spans="1:7" x14ac:dyDescent="0.4">
      <c r="A138" s="63"/>
      <c r="B138" s="64"/>
      <c r="C138" s="63"/>
      <c r="D138" s="63"/>
      <c r="E138" s="63"/>
      <c r="F138" s="65"/>
      <c r="G138" s="63"/>
    </row>
    <row r="139" spans="1:7" x14ac:dyDescent="0.4">
      <c r="A139" s="63"/>
      <c r="B139" s="64"/>
      <c r="C139" s="63"/>
      <c r="D139" s="63"/>
      <c r="E139" s="63"/>
      <c r="F139" s="65"/>
      <c r="G139" s="63"/>
    </row>
    <row r="140" spans="1:7" x14ac:dyDescent="0.4">
      <c r="A140" s="63"/>
      <c r="B140" s="64"/>
      <c r="C140" s="63"/>
      <c r="D140" s="63"/>
      <c r="E140" s="63"/>
      <c r="F140" s="65"/>
      <c r="G140" s="63"/>
    </row>
    <row r="141" spans="1:7" x14ac:dyDescent="0.4">
      <c r="A141" s="63"/>
      <c r="B141" s="64"/>
      <c r="C141" s="63"/>
      <c r="D141" s="63"/>
      <c r="E141" s="63"/>
      <c r="F141" s="65"/>
      <c r="G141" s="63"/>
    </row>
    <row r="142" spans="1:7" x14ac:dyDescent="0.4">
      <c r="A142" s="63"/>
      <c r="B142" s="64"/>
      <c r="C142" s="63"/>
      <c r="D142" s="63"/>
      <c r="E142" s="63"/>
      <c r="F142" s="65"/>
      <c r="G142" s="63"/>
    </row>
    <row r="143" spans="1:7" x14ac:dyDescent="0.4">
      <c r="A143" s="63"/>
      <c r="B143" s="64"/>
      <c r="C143" s="63"/>
      <c r="D143" s="63"/>
      <c r="E143" s="63"/>
      <c r="F143" s="65"/>
      <c r="G143" s="63"/>
    </row>
    <row r="144" spans="1:7" x14ac:dyDescent="0.4">
      <c r="A144" s="63"/>
      <c r="B144" s="64"/>
      <c r="C144" s="63"/>
      <c r="D144" s="63"/>
      <c r="E144" s="63"/>
      <c r="F144" s="65"/>
      <c r="G144" s="63"/>
    </row>
    <row r="145" spans="1:7" x14ac:dyDescent="0.4">
      <c r="A145" s="63"/>
      <c r="B145" s="64"/>
      <c r="C145" s="63"/>
      <c r="D145" s="63"/>
      <c r="E145" s="63"/>
      <c r="F145" s="65"/>
      <c r="G145" s="65"/>
    </row>
    <row r="146" spans="1:7" x14ac:dyDescent="0.4">
      <c r="A146" s="63"/>
      <c r="B146" s="64"/>
      <c r="C146" s="63"/>
      <c r="D146" s="63"/>
      <c r="E146" s="63"/>
      <c r="F146" s="65"/>
      <c r="G146" s="63"/>
    </row>
    <row r="147" spans="1:7" x14ac:dyDescent="0.4">
      <c r="A147" s="63"/>
      <c r="B147" s="64"/>
      <c r="C147" s="63"/>
      <c r="D147" s="63"/>
      <c r="E147" s="63"/>
      <c r="F147" s="65"/>
      <c r="G147" s="65"/>
    </row>
    <row r="148" spans="1:7" x14ac:dyDescent="0.4">
      <c r="A148" s="63"/>
      <c r="B148" s="64"/>
      <c r="C148" s="63"/>
      <c r="D148" s="63"/>
      <c r="E148" s="63"/>
      <c r="F148" s="65"/>
      <c r="G148" s="65"/>
    </row>
    <row r="149" spans="1:7" x14ac:dyDescent="0.4">
      <c r="A149" s="63"/>
      <c r="B149" s="64"/>
      <c r="C149" s="63"/>
      <c r="D149" s="63"/>
      <c r="E149" s="63"/>
      <c r="F149" s="65"/>
      <c r="G149" s="65"/>
    </row>
    <row r="150" spans="1:7" x14ac:dyDescent="0.4">
      <c r="A150" s="63"/>
      <c r="B150" s="64"/>
      <c r="C150" s="63"/>
      <c r="D150" s="63"/>
      <c r="E150" s="63"/>
      <c r="F150" s="65"/>
      <c r="G150" s="65"/>
    </row>
    <row r="151" spans="1:7" x14ac:dyDescent="0.4">
      <c r="A151" s="63"/>
      <c r="B151" s="64"/>
      <c r="C151" s="63"/>
      <c r="D151" s="63"/>
      <c r="E151" s="63"/>
      <c r="F151" s="65"/>
      <c r="G151" s="65"/>
    </row>
    <row r="152" spans="1:7" x14ac:dyDescent="0.4">
      <c r="A152" s="63"/>
      <c r="B152" s="64"/>
      <c r="C152" s="63"/>
      <c r="D152" s="63"/>
      <c r="E152" s="63"/>
      <c r="F152" s="65"/>
      <c r="G152" s="63"/>
    </row>
    <row r="153" spans="1:7" x14ac:dyDescent="0.4">
      <c r="A153" s="63"/>
      <c r="B153" s="64"/>
      <c r="C153" s="63"/>
      <c r="D153" s="63"/>
      <c r="E153" s="63"/>
      <c r="F153" s="65"/>
      <c r="G153" s="65"/>
    </row>
    <row r="154" spans="1:7" x14ac:dyDescent="0.4">
      <c r="A154" s="63"/>
      <c r="B154" s="64"/>
      <c r="C154" s="63"/>
      <c r="D154" s="63"/>
      <c r="E154" s="63"/>
      <c r="F154" s="65"/>
      <c r="G154" s="63"/>
    </row>
    <row r="155" spans="1:7" x14ac:dyDescent="0.4">
      <c r="A155" s="63"/>
      <c r="B155" s="64"/>
      <c r="C155" s="63"/>
      <c r="D155" s="63"/>
      <c r="E155" s="63"/>
      <c r="F155" s="65"/>
      <c r="G155" s="65"/>
    </row>
    <row r="156" spans="1:7" x14ac:dyDescent="0.4">
      <c r="A156" s="63"/>
      <c r="B156" s="64"/>
      <c r="C156" s="63"/>
      <c r="D156" s="63"/>
      <c r="E156" s="63"/>
      <c r="F156" s="65"/>
      <c r="G156" s="65"/>
    </row>
    <row r="157" spans="1:7" x14ac:dyDescent="0.4">
      <c r="A157" s="63"/>
      <c r="B157" s="64"/>
      <c r="C157" s="63"/>
      <c r="D157" s="63"/>
      <c r="E157" s="63"/>
      <c r="F157" s="65"/>
      <c r="G157" s="65"/>
    </row>
    <row r="158" spans="1:7" x14ac:dyDescent="0.4">
      <c r="A158" s="63"/>
      <c r="B158" s="64"/>
      <c r="C158" s="63"/>
      <c r="D158" s="63"/>
      <c r="E158" s="63"/>
      <c r="F158" s="65"/>
      <c r="G158" s="65"/>
    </row>
    <row r="159" spans="1:7" x14ac:dyDescent="0.4">
      <c r="A159" s="63"/>
      <c r="B159" s="64"/>
      <c r="C159" s="63"/>
      <c r="D159" s="63"/>
      <c r="E159" s="63"/>
      <c r="F159" s="65"/>
      <c r="G159" s="65"/>
    </row>
    <row r="160" spans="1:7" x14ac:dyDescent="0.4">
      <c r="A160" s="63"/>
      <c r="B160" s="64"/>
      <c r="C160" s="63"/>
      <c r="D160" s="63"/>
      <c r="E160" s="63"/>
      <c r="F160" s="65"/>
      <c r="G160" s="65"/>
    </row>
    <row r="161" spans="1:7" x14ac:dyDescent="0.4">
      <c r="A161" s="63"/>
      <c r="B161" s="64"/>
      <c r="C161" s="63"/>
      <c r="D161" s="63"/>
      <c r="E161" s="63"/>
      <c r="F161" s="65"/>
      <c r="G161" s="65"/>
    </row>
    <row r="162" spans="1:7" x14ac:dyDescent="0.4">
      <c r="A162" s="63"/>
      <c r="B162" s="64"/>
      <c r="C162" s="63"/>
      <c r="D162" s="63"/>
      <c r="E162" s="63"/>
      <c r="F162" s="65"/>
      <c r="G162" s="65"/>
    </row>
    <row r="163" spans="1:7" x14ac:dyDescent="0.4">
      <c r="A163" s="63"/>
      <c r="B163" s="64"/>
      <c r="C163" s="63"/>
      <c r="D163" s="63"/>
      <c r="E163" s="63"/>
      <c r="F163" s="65"/>
      <c r="G163" s="65"/>
    </row>
    <row r="164" spans="1:7" x14ac:dyDescent="0.4">
      <c r="A164" s="63"/>
      <c r="B164" s="64"/>
      <c r="C164" s="63"/>
      <c r="D164" s="63"/>
      <c r="E164" s="63"/>
      <c r="F164" s="65"/>
      <c r="G164" s="65"/>
    </row>
    <row r="165" spans="1:7" x14ac:dyDescent="0.4">
      <c r="A165" s="63"/>
      <c r="B165" s="64"/>
      <c r="C165" s="63"/>
      <c r="D165" s="63"/>
      <c r="E165" s="63"/>
      <c r="F165" s="65"/>
      <c r="G165" s="65"/>
    </row>
    <row r="166" spans="1:7" x14ac:dyDescent="0.4">
      <c r="A166" s="63"/>
      <c r="B166" s="64"/>
      <c r="C166" s="63"/>
      <c r="D166" s="63"/>
      <c r="E166" s="63"/>
      <c r="F166" s="65"/>
      <c r="G166" s="65"/>
    </row>
    <row r="167" spans="1:7" x14ac:dyDescent="0.4">
      <c r="A167" s="63"/>
      <c r="B167" s="64"/>
      <c r="C167" s="63"/>
      <c r="D167" s="63"/>
      <c r="E167" s="63"/>
      <c r="F167" s="65"/>
      <c r="G167" s="65"/>
    </row>
    <row r="168" spans="1:7" x14ac:dyDescent="0.4">
      <c r="A168" s="63"/>
      <c r="B168" s="64"/>
      <c r="C168" s="63"/>
      <c r="D168" s="63"/>
      <c r="E168" s="63"/>
      <c r="F168" s="65"/>
      <c r="G168" s="65"/>
    </row>
    <row r="169" spans="1:7" x14ac:dyDescent="0.4">
      <c r="A169" s="63"/>
      <c r="B169" s="64"/>
      <c r="C169" s="63"/>
      <c r="D169" s="63"/>
      <c r="E169" s="63"/>
      <c r="F169" s="65"/>
      <c r="G169" s="65"/>
    </row>
    <row r="170" spans="1:7" x14ac:dyDescent="0.4">
      <c r="A170" s="63"/>
      <c r="B170" s="64"/>
      <c r="C170" s="63"/>
      <c r="D170" s="63"/>
      <c r="E170" s="63"/>
      <c r="F170" s="65"/>
      <c r="G170" s="63"/>
    </row>
    <row r="171" spans="1:7" x14ac:dyDescent="0.4">
      <c r="A171" s="63"/>
      <c r="B171" s="64"/>
      <c r="C171" s="63"/>
      <c r="D171" s="63"/>
      <c r="E171" s="63"/>
      <c r="F171" s="65"/>
      <c r="G171" s="63"/>
    </row>
    <row r="172" spans="1:7" x14ac:dyDescent="0.4">
      <c r="A172" s="63"/>
      <c r="B172" s="64"/>
      <c r="C172" s="63"/>
      <c r="D172" s="63"/>
      <c r="E172" s="63"/>
      <c r="F172" s="65"/>
      <c r="G172" s="63"/>
    </row>
    <row r="173" spans="1:7" x14ac:dyDescent="0.4">
      <c r="A173" s="63"/>
      <c r="B173" s="64"/>
      <c r="C173" s="63"/>
      <c r="D173" s="63"/>
      <c r="E173" s="63"/>
      <c r="F173" s="65"/>
      <c r="G173" s="63"/>
    </row>
    <row r="174" spans="1:7" x14ac:dyDescent="0.4">
      <c r="A174" s="63"/>
      <c r="B174" s="64"/>
      <c r="C174" s="63"/>
      <c r="D174" s="63"/>
      <c r="E174" s="63"/>
      <c r="F174" s="65"/>
      <c r="G174" s="63"/>
    </row>
    <row r="175" spans="1:7" x14ac:dyDescent="0.4">
      <c r="A175" s="63"/>
      <c r="B175" s="64"/>
      <c r="C175" s="63"/>
      <c r="D175" s="63"/>
      <c r="E175" s="63"/>
      <c r="F175" s="65"/>
      <c r="G175" s="63"/>
    </row>
    <row r="176" spans="1:7" x14ac:dyDescent="0.4">
      <c r="A176" s="63"/>
      <c r="B176" s="64"/>
      <c r="C176" s="63"/>
      <c r="D176" s="63"/>
      <c r="E176" s="63"/>
      <c r="F176" s="65"/>
      <c r="G176" s="63"/>
    </row>
    <row r="177" spans="1:7" x14ac:dyDescent="0.4">
      <c r="A177" s="63"/>
      <c r="B177" s="64"/>
      <c r="C177" s="63"/>
      <c r="D177" s="63"/>
      <c r="E177" s="63"/>
      <c r="F177" s="65"/>
      <c r="G177" s="63"/>
    </row>
    <row r="178" spans="1:7" x14ac:dyDescent="0.4">
      <c r="A178" s="63"/>
      <c r="B178" s="64"/>
      <c r="C178" s="63"/>
      <c r="D178" s="63"/>
      <c r="E178" s="63"/>
      <c r="F178" s="65"/>
      <c r="G178" s="63"/>
    </row>
    <row r="179" spans="1:7" x14ac:dyDescent="0.4">
      <c r="A179" s="63"/>
      <c r="B179" s="64"/>
      <c r="C179" s="63"/>
      <c r="D179" s="63"/>
      <c r="E179" s="63"/>
      <c r="F179" s="65"/>
      <c r="G179" s="63"/>
    </row>
    <row r="180" spans="1:7" x14ac:dyDescent="0.4">
      <c r="A180" s="63"/>
      <c r="B180" s="64"/>
      <c r="C180" s="63"/>
      <c r="D180" s="63"/>
      <c r="E180" s="63"/>
      <c r="F180" s="65"/>
      <c r="G180" s="63"/>
    </row>
    <row r="181" spans="1:7" x14ac:dyDescent="0.4">
      <c r="A181" s="63"/>
      <c r="B181" s="64"/>
      <c r="C181" s="63"/>
      <c r="D181" s="63"/>
      <c r="E181" s="63"/>
      <c r="F181" s="65"/>
      <c r="G181" s="63"/>
    </row>
    <row r="182" spans="1:7" x14ac:dyDescent="0.4">
      <c r="A182" s="63"/>
      <c r="B182" s="64"/>
      <c r="C182" s="63"/>
      <c r="D182" s="63"/>
      <c r="E182" s="63"/>
      <c r="F182" s="65"/>
      <c r="G182" s="63"/>
    </row>
    <row r="183" spans="1:7" x14ac:dyDescent="0.4">
      <c r="A183" s="63"/>
      <c r="B183" s="64"/>
      <c r="C183" s="63"/>
      <c r="D183" s="63"/>
      <c r="E183" s="63"/>
      <c r="F183" s="65"/>
      <c r="G183" s="63"/>
    </row>
    <row r="184" spans="1:7" x14ac:dyDescent="0.4">
      <c r="A184" s="63"/>
      <c r="B184" s="64"/>
      <c r="C184" s="63"/>
      <c r="D184" s="63"/>
      <c r="E184" s="63"/>
      <c r="F184" s="65"/>
      <c r="G184" s="63"/>
    </row>
    <row r="185" spans="1:7" x14ac:dyDescent="0.4">
      <c r="A185" s="63"/>
      <c r="B185" s="64"/>
      <c r="C185" s="63"/>
      <c r="D185" s="63"/>
      <c r="E185" s="63"/>
      <c r="F185" s="65"/>
      <c r="G185" s="63"/>
    </row>
    <row r="186" spans="1:7" x14ac:dyDescent="0.4">
      <c r="A186" s="63"/>
      <c r="B186" s="64"/>
      <c r="C186" s="63"/>
      <c r="D186" s="63"/>
      <c r="E186" s="63"/>
      <c r="F186" s="65"/>
      <c r="G186" s="63"/>
    </row>
    <row r="187" spans="1:7" x14ac:dyDescent="0.4">
      <c r="A187" s="63"/>
      <c r="B187" s="64"/>
      <c r="C187" s="63"/>
      <c r="D187" s="63"/>
      <c r="E187" s="63"/>
      <c r="F187" s="65"/>
      <c r="G187" s="63"/>
    </row>
    <row r="188" spans="1:7" x14ac:dyDescent="0.4">
      <c r="A188" s="63"/>
      <c r="B188" s="64"/>
      <c r="C188" s="63"/>
      <c r="D188" s="63"/>
      <c r="E188" s="63"/>
      <c r="F188" s="65"/>
      <c r="G188" s="63"/>
    </row>
    <row r="189" spans="1:7" x14ac:dyDescent="0.4">
      <c r="A189" s="63"/>
      <c r="B189" s="64"/>
      <c r="C189" s="63"/>
      <c r="D189" s="63"/>
      <c r="E189" s="63"/>
      <c r="F189" s="65"/>
      <c r="G189" s="63"/>
    </row>
    <row r="190" spans="1:7" x14ac:dyDescent="0.4">
      <c r="A190" s="63"/>
      <c r="B190" s="64"/>
      <c r="C190" s="63"/>
      <c r="D190" s="63"/>
      <c r="E190" s="63"/>
      <c r="F190" s="65"/>
      <c r="G190" s="63"/>
    </row>
    <row r="191" spans="1:7" x14ac:dyDescent="0.4">
      <c r="A191" s="63"/>
      <c r="B191" s="64"/>
      <c r="C191" s="63"/>
      <c r="D191" s="63"/>
      <c r="E191" s="63"/>
      <c r="F191" s="65"/>
      <c r="G191" s="63"/>
    </row>
    <row r="192" spans="1:7" x14ac:dyDescent="0.4">
      <c r="A192" s="63"/>
      <c r="B192" s="64"/>
      <c r="C192" s="63"/>
      <c r="D192" s="63"/>
      <c r="E192" s="63"/>
      <c r="F192" s="65"/>
      <c r="G192" s="63"/>
    </row>
    <row r="193" spans="1:7" x14ac:dyDescent="0.4">
      <c r="A193" s="63"/>
      <c r="B193" s="64"/>
      <c r="C193" s="63"/>
      <c r="D193" s="63"/>
      <c r="E193" s="63"/>
      <c r="F193" s="65"/>
      <c r="G193" s="63"/>
    </row>
    <row r="194" spans="1:7" x14ac:dyDescent="0.4">
      <c r="A194" s="63"/>
      <c r="B194" s="64"/>
      <c r="C194" s="63"/>
      <c r="D194" s="63"/>
      <c r="E194" s="63"/>
      <c r="F194" s="65"/>
      <c r="G194" s="63"/>
    </row>
    <row r="195" spans="1:7" x14ac:dyDescent="0.4">
      <c r="A195" s="63"/>
      <c r="B195" s="64"/>
      <c r="C195" s="63"/>
      <c r="D195" s="63"/>
      <c r="E195" s="63"/>
      <c r="F195" s="65"/>
      <c r="G195" s="63"/>
    </row>
    <row r="196" spans="1:7" x14ac:dyDescent="0.4">
      <c r="A196" s="63"/>
      <c r="B196" s="64"/>
      <c r="C196" s="63"/>
      <c r="D196" s="63"/>
      <c r="E196" s="63"/>
      <c r="F196" s="65"/>
      <c r="G196" s="63"/>
    </row>
    <row r="197" spans="1:7" x14ac:dyDescent="0.4">
      <c r="A197" s="63"/>
      <c r="B197" s="64"/>
      <c r="C197" s="63"/>
      <c r="D197" s="63"/>
      <c r="E197" s="63"/>
      <c r="F197" s="65"/>
      <c r="G197" s="63"/>
    </row>
    <row r="198" spans="1:7" x14ac:dyDescent="0.4">
      <c r="A198" s="63"/>
      <c r="B198" s="64"/>
      <c r="C198" s="63"/>
      <c r="D198" s="63"/>
      <c r="E198" s="63"/>
      <c r="F198" s="65"/>
      <c r="G198" s="63"/>
    </row>
    <row r="199" spans="1:7" x14ac:dyDescent="0.4">
      <c r="A199" s="63"/>
      <c r="B199" s="64"/>
      <c r="C199" s="63"/>
      <c r="D199" s="63"/>
      <c r="E199" s="63"/>
      <c r="F199" s="65"/>
      <c r="G199" s="63"/>
    </row>
    <row r="200" spans="1:7" x14ac:dyDescent="0.4">
      <c r="A200" s="63"/>
      <c r="B200" s="64"/>
      <c r="C200" s="63"/>
      <c r="D200" s="63"/>
      <c r="E200" s="63"/>
      <c r="F200" s="65"/>
      <c r="G200" s="63"/>
    </row>
    <row r="201" spans="1:7" x14ac:dyDescent="0.4">
      <c r="A201" s="63"/>
      <c r="B201" s="64"/>
      <c r="C201" s="63"/>
      <c r="D201" s="63"/>
      <c r="E201" s="63"/>
      <c r="F201" s="65"/>
      <c r="G201" s="63"/>
    </row>
    <row r="202" spans="1:7" x14ac:dyDescent="0.4">
      <c r="A202" s="63"/>
      <c r="B202" s="64"/>
      <c r="C202" s="63"/>
      <c r="D202" s="63"/>
      <c r="E202" s="63"/>
      <c r="F202" s="65"/>
      <c r="G202" s="63"/>
    </row>
    <row r="203" spans="1:7" x14ac:dyDescent="0.4">
      <c r="A203" s="63"/>
      <c r="B203" s="64"/>
      <c r="C203" s="63"/>
      <c r="D203" s="63"/>
      <c r="E203" s="63"/>
      <c r="F203" s="65"/>
      <c r="G203" s="63"/>
    </row>
    <row r="204" spans="1:7" x14ac:dyDescent="0.4">
      <c r="A204" s="63"/>
      <c r="B204" s="64"/>
      <c r="C204" s="63"/>
      <c r="D204" s="63"/>
      <c r="E204" s="63"/>
      <c r="F204" s="65"/>
      <c r="G204" s="63"/>
    </row>
    <row r="205" spans="1:7" x14ac:dyDescent="0.4">
      <c r="A205" s="63"/>
      <c r="B205" s="64"/>
      <c r="C205" s="63"/>
      <c r="D205" s="63"/>
      <c r="E205" s="63"/>
      <c r="F205" s="65"/>
      <c r="G205" s="63"/>
    </row>
    <row r="206" spans="1:7" x14ac:dyDescent="0.4">
      <c r="A206" s="63"/>
      <c r="B206" s="64"/>
      <c r="C206" s="63"/>
      <c r="D206" s="63"/>
      <c r="E206" s="63"/>
      <c r="F206" s="65"/>
      <c r="G206" s="63"/>
    </row>
    <row r="207" spans="1:7" x14ac:dyDescent="0.4">
      <c r="A207" s="63"/>
      <c r="B207" s="64"/>
      <c r="C207" s="63"/>
      <c r="D207" s="63"/>
      <c r="E207" s="63"/>
      <c r="F207" s="65"/>
      <c r="G207" s="63"/>
    </row>
    <row r="208" spans="1:7" x14ac:dyDescent="0.4">
      <c r="A208" s="63"/>
      <c r="B208" s="64"/>
      <c r="C208" s="63"/>
      <c r="D208" s="63"/>
      <c r="E208" s="63"/>
      <c r="F208" s="65"/>
      <c r="G208" s="63"/>
    </row>
    <row r="209" spans="1:7" x14ac:dyDescent="0.4">
      <c r="A209" s="63"/>
      <c r="B209" s="64"/>
      <c r="C209" s="63"/>
      <c r="D209" s="63"/>
      <c r="E209" s="63"/>
      <c r="F209" s="65"/>
      <c r="G209" s="63"/>
    </row>
    <row r="210" spans="1:7" x14ac:dyDescent="0.4">
      <c r="A210" s="63"/>
      <c r="B210" s="64"/>
      <c r="C210" s="63"/>
      <c r="D210" s="63"/>
      <c r="E210" s="63"/>
      <c r="F210" s="65"/>
      <c r="G210" s="63"/>
    </row>
    <row r="211" spans="1:7" x14ac:dyDescent="0.4">
      <c r="A211" s="63"/>
      <c r="B211" s="64"/>
      <c r="C211" s="63"/>
      <c r="D211" s="63"/>
      <c r="E211" s="63"/>
      <c r="F211" s="65"/>
      <c r="G211" s="63"/>
    </row>
    <row r="212" spans="1:7" x14ac:dyDescent="0.4">
      <c r="A212" s="63"/>
      <c r="B212" s="64"/>
      <c r="C212" s="63"/>
      <c r="D212" s="63"/>
      <c r="E212" s="63"/>
      <c r="F212" s="65"/>
      <c r="G212" s="63"/>
    </row>
    <row r="213" spans="1:7" x14ac:dyDescent="0.4">
      <c r="A213" s="63"/>
      <c r="B213" s="64"/>
      <c r="C213" s="63"/>
      <c r="D213" s="63"/>
      <c r="E213" s="63"/>
      <c r="F213" s="65"/>
      <c r="G213" s="63"/>
    </row>
    <row r="214" spans="1:7" x14ac:dyDescent="0.4">
      <c r="A214" s="63"/>
      <c r="B214" s="64"/>
      <c r="C214" s="63"/>
      <c r="D214" s="63"/>
      <c r="E214" s="63"/>
      <c r="F214" s="65"/>
      <c r="G214" s="63"/>
    </row>
    <row r="215" spans="1:7" x14ac:dyDescent="0.4">
      <c r="A215" s="63"/>
      <c r="B215" s="64"/>
      <c r="C215" s="63"/>
      <c r="D215" s="63"/>
      <c r="E215" s="63"/>
      <c r="F215" s="65"/>
      <c r="G215" s="63"/>
    </row>
    <row r="216" spans="1:7" x14ac:dyDescent="0.4">
      <c r="A216" s="63"/>
      <c r="B216" s="64"/>
      <c r="C216" s="63"/>
      <c r="D216" s="63"/>
      <c r="E216" s="63"/>
      <c r="F216" s="65"/>
      <c r="G216" s="63"/>
    </row>
    <row r="217" spans="1:7" x14ac:dyDescent="0.4">
      <c r="A217" s="63"/>
      <c r="B217" s="64"/>
      <c r="C217" s="63"/>
      <c r="D217" s="63"/>
      <c r="E217" s="63"/>
      <c r="F217" s="65"/>
      <c r="G217" s="63"/>
    </row>
    <row r="218" spans="1:7" x14ac:dyDescent="0.4">
      <c r="A218" s="63"/>
      <c r="B218" s="64"/>
      <c r="C218" s="63"/>
      <c r="D218" s="63"/>
      <c r="E218" s="63"/>
      <c r="F218" s="65"/>
      <c r="G218" s="63"/>
    </row>
    <row r="219" spans="1:7" x14ac:dyDescent="0.4">
      <c r="A219" s="63"/>
      <c r="B219" s="64"/>
      <c r="C219" s="63"/>
      <c r="D219" s="63"/>
      <c r="E219" s="63"/>
      <c r="F219" s="65"/>
      <c r="G219" s="63"/>
    </row>
    <row r="220" spans="1:7" x14ac:dyDescent="0.4">
      <c r="A220" s="63"/>
      <c r="B220" s="64"/>
      <c r="C220" s="63"/>
      <c r="D220" s="63"/>
      <c r="E220" s="63"/>
      <c r="F220" s="65"/>
      <c r="G220" s="63"/>
    </row>
    <row r="221" spans="1:7" x14ac:dyDescent="0.4">
      <c r="A221" s="63"/>
      <c r="B221" s="64"/>
      <c r="C221" s="63"/>
      <c r="D221" s="63"/>
      <c r="E221" s="63"/>
      <c r="F221" s="65"/>
      <c r="G221" s="63"/>
    </row>
    <row r="222" spans="1:7" x14ac:dyDescent="0.4">
      <c r="A222" s="63"/>
      <c r="B222" s="64"/>
      <c r="C222" s="63"/>
      <c r="D222" s="63"/>
      <c r="E222" s="63"/>
      <c r="F222" s="65"/>
      <c r="G222" s="63"/>
    </row>
    <row r="223" spans="1:7" x14ac:dyDescent="0.4">
      <c r="A223" s="63"/>
      <c r="B223" s="64"/>
      <c r="C223" s="63"/>
      <c r="D223" s="63"/>
      <c r="E223" s="63"/>
      <c r="F223" s="65"/>
      <c r="G223" s="63"/>
    </row>
    <row r="224" spans="1:7" x14ac:dyDescent="0.4">
      <c r="A224" s="63"/>
      <c r="B224" s="64"/>
      <c r="C224" s="63"/>
      <c r="D224" s="63"/>
      <c r="E224" s="63"/>
      <c r="F224" s="65"/>
      <c r="G224" s="63"/>
    </row>
    <row r="225" spans="1:7" x14ac:dyDescent="0.4">
      <c r="A225" s="63"/>
      <c r="B225" s="64"/>
      <c r="C225" s="63"/>
      <c r="D225" s="63"/>
      <c r="E225" s="63"/>
      <c r="F225" s="65"/>
      <c r="G225" s="63"/>
    </row>
    <row r="226" spans="1:7" x14ac:dyDescent="0.4">
      <c r="A226" s="63"/>
      <c r="B226" s="64"/>
      <c r="C226" s="63"/>
      <c r="D226" s="63"/>
      <c r="E226" s="63"/>
      <c r="F226" s="65"/>
      <c r="G226" s="63"/>
    </row>
    <row r="227" spans="1:7" x14ac:dyDescent="0.4">
      <c r="A227" s="63"/>
      <c r="B227" s="64"/>
      <c r="C227" s="63"/>
      <c r="D227" s="63"/>
      <c r="E227" s="63"/>
      <c r="F227" s="65"/>
      <c r="G227" s="63"/>
    </row>
    <row r="228" spans="1:7" x14ac:dyDescent="0.4">
      <c r="A228" s="63"/>
      <c r="B228" s="64"/>
      <c r="C228" s="63"/>
      <c r="D228" s="63"/>
      <c r="E228" s="63"/>
      <c r="F228" s="65"/>
      <c r="G228" s="63"/>
    </row>
    <row r="229" spans="1:7" x14ac:dyDescent="0.4">
      <c r="A229" s="63"/>
      <c r="B229" s="64"/>
      <c r="C229" s="63"/>
      <c r="D229" s="63"/>
      <c r="E229" s="63"/>
      <c r="F229" s="65"/>
      <c r="G229" s="63"/>
    </row>
    <row r="230" spans="1:7" x14ac:dyDescent="0.4">
      <c r="A230" s="63"/>
      <c r="B230" s="64"/>
      <c r="C230" s="63"/>
      <c r="D230" s="63"/>
      <c r="E230" s="63"/>
      <c r="F230" s="65"/>
      <c r="G230" s="63"/>
    </row>
    <row r="231" spans="1:7" x14ac:dyDescent="0.4">
      <c r="A231" s="63"/>
      <c r="B231" s="64"/>
      <c r="C231" s="63"/>
      <c r="D231" s="63"/>
      <c r="E231" s="63"/>
      <c r="F231" s="65"/>
      <c r="G231" s="63"/>
    </row>
    <row r="232" spans="1:7" x14ac:dyDescent="0.4">
      <c r="A232" s="63"/>
      <c r="B232" s="64"/>
      <c r="C232" s="63"/>
      <c r="D232" s="63"/>
      <c r="E232" s="63"/>
      <c r="F232" s="65"/>
      <c r="G232" s="63"/>
    </row>
    <row r="233" spans="1:7" x14ac:dyDescent="0.4">
      <c r="A233" s="63"/>
      <c r="B233" s="64"/>
      <c r="C233" s="63"/>
      <c r="D233" s="63"/>
      <c r="E233" s="63"/>
      <c r="F233" s="65"/>
      <c r="G233" s="63"/>
    </row>
    <row r="234" spans="1:7" x14ac:dyDescent="0.4">
      <c r="A234" s="63"/>
      <c r="B234" s="64"/>
      <c r="C234" s="63"/>
      <c r="D234" s="63"/>
      <c r="E234" s="63"/>
      <c r="F234" s="65"/>
      <c r="G234" s="63"/>
    </row>
    <row r="235" spans="1:7" x14ac:dyDescent="0.4">
      <c r="A235" s="63"/>
      <c r="B235" s="64"/>
      <c r="C235" s="63"/>
      <c r="D235" s="63"/>
      <c r="E235" s="63"/>
      <c r="F235" s="65"/>
      <c r="G235" s="63"/>
    </row>
    <row r="236" spans="1:7" x14ac:dyDescent="0.4">
      <c r="A236" s="63"/>
      <c r="B236" s="64"/>
      <c r="C236" s="63"/>
      <c r="D236" s="63"/>
      <c r="E236" s="63"/>
      <c r="F236" s="65"/>
      <c r="G236" s="63"/>
    </row>
    <row r="237" spans="1:7" x14ac:dyDescent="0.4">
      <c r="A237" s="63"/>
      <c r="B237" s="64"/>
      <c r="C237" s="63"/>
      <c r="D237" s="63"/>
      <c r="E237" s="63"/>
      <c r="F237" s="65"/>
      <c r="G237" s="63"/>
    </row>
    <row r="238" spans="1:7" x14ac:dyDescent="0.4">
      <c r="A238" s="63"/>
      <c r="B238" s="64"/>
      <c r="C238" s="63"/>
      <c r="D238" s="63"/>
      <c r="E238" s="63"/>
      <c r="F238" s="65"/>
      <c r="G238" s="63"/>
    </row>
    <row r="239" spans="1:7" x14ac:dyDescent="0.4">
      <c r="A239" s="63"/>
      <c r="B239" s="64"/>
      <c r="C239" s="63"/>
      <c r="D239" s="63"/>
      <c r="E239" s="63"/>
      <c r="F239" s="65"/>
      <c r="G239" s="63"/>
    </row>
    <row r="240" spans="1:7" x14ac:dyDescent="0.4">
      <c r="A240" s="63"/>
      <c r="B240" s="64"/>
      <c r="C240" s="63"/>
      <c r="D240" s="63"/>
      <c r="E240" s="63"/>
      <c r="F240" s="65"/>
      <c r="G240" s="63"/>
    </row>
    <row r="241" spans="1:7" x14ac:dyDescent="0.4">
      <c r="A241" s="63"/>
      <c r="B241" s="64"/>
      <c r="C241" s="63"/>
      <c r="D241" s="63"/>
      <c r="E241" s="63"/>
      <c r="F241" s="65"/>
      <c r="G241" s="63"/>
    </row>
    <row r="242" spans="1:7" x14ac:dyDescent="0.4">
      <c r="A242" s="63"/>
      <c r="B242" s="64"/>
      <c r="C242" s="63"/>
      <c r="D242" s="63"/>
      <c r="E242" s="63"/>
      <c r="F242" s="65"/>
      <c r="G242" s="63"/>
    </row>
    <row r="243" spans="1:7" x14ac:dyDescent="0.4">
      <c r="A243" s="63"/>
      <c r="B243" s="64"/>
      <c r="C243" s="63"/>
      <c r="D243" s="63"/>
      <c r="E243" s="63"/>
      <c r="F243" s="65"/>
      <c r="G243" s="63"/>
    </row>
    <row r="244" spans="1:7" x14ac:dyDescent="0.4">
      <c r="A244" s="63"/>
      <c r="B244" s="64"/>
      <c r="C244" s="63"/>
      <c r="D244" s="63"/>
      <c r="E244" s="63"/>
      <c r="F244" s="65"/>
      <c r="G244" s="63"/>
    </row>
    <row r="245" spans="1:7" x14ac:dyDescent="0.4">
      <c r="A245" s="63"/>
      <c r="B245" s="64"/>
      <c r="C245" s="63"/>
      <c r="D245" s="63"/>
      <c r="E245" s="63"/>
      <c r="F245" s="65"/>
      <c r="G245" s="63"/>
    </row>
    <row r="246" spans="1:7" x14ac:dyDescent="0.4">
      <c r="A246" s="63"/>
      <c r="B246" s="64"/>
      <c r="C246" s="63"/>
      <c r="D246" s="63"/>
      <c r="E246" s="63"/>
      <c r="F246" s="65"/>
      <c r="G246" s="63"/>
    </row>
    <row r="247" spans="1:7" x14ac:dyDescent="0.4">
      <c r="A247" s="63"/>
      <c r="B247" s="64"/>
      <c r="C247" s="63"/>
      <c r="D247" s="63"/>
      <c r="E247" s="63"/>
      <c r="F247" s="65"/>
      <c r="G247" s="63"/>
    </row>
    <row r="248" spans="1:7" x14ac:dyDescent="0.4">
      <c r="A248" s="63"/>
      <c r="B248" s="64"/>
      <c r="C248" s="63"/>
      <c r="D248" s="63"/>
      <c r="E248" s="63"/>
      <c r="F248" s="65"/>
      <c r="G248" s="63"/>
    </row>
    <row r="249" spans="1:7" x14ac:dyDescent="0.4">
      <c r="A249" s="63"/>
      <c r="B249" s="64"/>
      <c r="C249" s="63"/>
      <c r="D249" s="63"/>
      <c r="E249" s="63"/>
      <c r="F249" s="65"/>
      <c r="G249" s="63"/>
    </row>
    <row r="250" spans="1:7" x14ac:dyDescent="0.4">
      <c r="A250" s="63"/>
      <c r="B250" s="64"/>
      <c r="C250" s="63"/>
      <c r="D250" s="63"/>
      <c r="E250" s="63"/>
      <c r="F250" s="65"/>
      <c r="G250" s="63"/>
    </row>
    <row r="251" spans="1:7" x14ac:dyDescent="0.4">
      <c r="A251" s="63"/>
      <c r="B251" s="64"/>
      <c r="C251" s="63"/>
      <c r="D251" s="63"/>
      <c r="E251" s="63"/>
      <c r="F251" s="65"/>
      <c r="G251" s="63"/>
    </row>
    <row r="252" spans="1:7" x14ac:dyDescent="0.4">
      <c r="A252" s="63"/>
      <c r="B252" s="64"/>
      <c r="C252" s="63"/>
      <c r="D252" s="63"/>
      <c r="E252" s="63"/>
      <c r="F252" s="65"/>
      <c r="G252" s="63"/>
    </row>
    <row r="253" spans="1:7" x14ac:dyDescent="0.4">
      <c r="A253" s="63"/>
      <c r="B253" s="64"/>
      <c r="C253" s="63"/>
      <c r="D253" s="63"/>
      <c r="E253" s="63"/>
      <c r="F253" s="65"/>
      <c r="G253" s="63"/>
    </row>
    <row r="254" spans="1:7" x14ac:dyDescent="0.4">
      <c r="A254" s="63"/>
      <c r="B254" s="64"/>
      <c r="C254" s="63"/>
      <c r="D254" s="63"/>
      <c r="E254" s="63"/>
      <c r="F254" s="65"/>
      <c r="G254" s="63"/>
    </row>
    <row r="255" spans="1:7" x14ac:dyDescent="0.4">
      <c r="A255" s="63"/>
      <c r="B255" s="64"/>
      <c r="C255" s="63"/>
      <c r="D255" s="63"/>
      <c r="E255" s="63"/>
      <c r="F255" s="65"/>
      <c r="G255" s="63"/>
    </row>
    <row r="256" spans="1:7" x14ac:dyDescent="0.4">
      <c r="A256" s="63"/>
      <c r="B256" s="64"/>
      <c r="C256" s="63"/>
      <c r="D256" s="63"/>
      <c r="E256" s="63"/>
      <c r="F256" s="65"/>
      <c r="G256" s="63"/>
    </row>
    <row r="257" spans="1:7" x14ac:dyDescent="0.4">
      <c r="A257" s="63"/>
      <c r="B257" s="64"/>
      <c r="C257" s="63"/>
      <c r="D257" s="63"/>
      <c r="E257" s="63"/>
      <c r="F257" s="65"/>
      <c r="G257" s="63"/>
    </row>
    <row r="258" spans="1:7" x14ac:dyDescent="0.4">
      <c r="A258" s="63"/>
      <c r="B258" s="64"/>
      <c r="C258" s="63"/>
      <c r="D258" s="58"/>
      <c r="E258" s="58"/>
      <c r="F258" s="60"/>
      <c r="G258" s="58"/>
    </row>
    <row r="259" spans="1:7" x14ac:dyDescent="0.4">
      <c r="A259" s="63"/>
      <c r="B259" s="64"/>
      <c r="C259" s="63"/>
      <c r="D259" s="58"/>
      <c r="E259" s="58"/>
      <c r="F259" s="60"/>
      <c r="G259" s="58"/>
    </row>
    <row r="260" spans="1:7" x14ac:dyDescent="0.4">
      <c r="A260" s="63"/>
      <c r="B260" s="64"/>
      <c r="C260" s="63"/>
      <c r="D260" s="63"/>
      <c r="E260" s="63"/>
      <c r="F260" s="65"/>
      <c r="G260" s="63"/>
    </row>
    <row r="261" spans="1:7" x14ac:dyDescent="0.4">
      <c r="A261" s="63"/>
      <c r="B261" s="64"/>
      <c r="C261" s="63"/>
      <c r="D261" s="63"/>
      <c r="E261" s="63"/>
      <c r="F261" s="65"/>
      <c r="G261" s="63"/>
    </row>
    <row r="262" spans="1:7" x14ac:dyDescent="0.4">
      <c r="A262" s="63"/>
      <c r="B262" s="64"/>
      <c r="C262" s="63"/>
      <c r="D262" s="63"/>
      <c r="E262" s="63"/>
      <c r="F262" s="65"/>
      <c r="G262" s="63"/>
    </row>
    <row r="263" spans="1:7" x14ac:dyDescent="0.4">
      <c r="A263" s="63"/>
      <c r="B263" s="64"/>
      <c r="C263" s="63"/>
      <c r="D263" s="58"/>
      <c r="E263" s="58"/>
      <c r="F263" s="60"/>
      <c r="G263" s="58"/>
    </row>
    <row r="264" spans="1:7" x14ac:dyDescent="0.4">
      <c r="A264" s="63"/>
      <c r="B264" s="64"/>
      <c r="C264" s="63"/>
      <c r="D264" s="58"/>
      <c r="E264" s="58"/>
      <c r="F264" s="60"/>
      <c r="G264" s="58"/>
    </row>
    <row r="265" spans="1:7" x14ac:dyDescent="0.4">
      <c r="A265" s="63"/>
      <c r="B265" s="64"/>
      <c r="C265" s="63"/>
      <c r="D265" s="58"/>
      <c r="E265" s="58"/>
      <c r="F265" s="60"/>
      <c r="G265" s="58"/>
    </row>
    <row r="266" spans="1:7" x14ac:dyDescent="0.4">
      <c r="A266" s="63"/>
      <c r="B266" s="64"/>
      <c r="C266" s="63"/>
      <c r="D266" s="63"/>
      <c r="E266" s="63"/>
      <c r="F266" s="65"/>
      <c r="G266" s="63"/>
    </row>
    <row r="267" spans="1:7" x14ac:dyDescent="0.4">
      <c r="A267" s="63"/>
      <c r="B267" s="64"/>
      <c r="C267" s="63"/>
      <c r="D267" s="63"/>
      <c r="E267" s="63"/>
      <c r="F267" s="65"/>
      <c r="G267" s="63"/>
    </row>
    <row r="268" spans="1:7" x14ac:dyDescent="0.4">
      <c r="A268" s="63"/>
      <c r="B268" s="64"/>
      <c r="C268" s="63"/>
      <c r="D268" s="63"/>
      <c r="E268" s="63"/>
      <c r="F268" s="65"/>
      <c r="G268" s="63"/>
    </row>
    <row r="269" spans="1:7" x14ac:dyDescent="0.4">
      <c r="A269" s="63"/>
      <c r="B269" s="64"/>
      <c r="C269" s="63"/>
      <c r="D269" s="58"/>
      <c r="E269" s="58"/>
      <c r="F269" s="60"/>
      <c r="G269" s="58"/>
    </row>
    <row r="270" spans="1:7" x14ac:dyDescent="0.4">
      <c r="A270" s="63"/>
      <c r="B270" s="64"/>
      <c r="C270" s="63"/>
      <c r="D270" s="63"/>
      <c r="E270" s="63"/>
      <c r="F270" s="65"/>
      <c r="G270" s="63"/>
    </row>
    <row r="271" spans="1:7" x14ac:dyDescent="0.4">
      <c r="A271" s="63"/>
      <c r="B271" s="64"/>
      <c r="C271" s="63"/>
      <c r="D271" s="63"/>
      <c r="E271" s="63"/>
      <c r="F271" s="65"/>
      <c r="G271" s="63"/>
    </row>
    <row r="272" spans="1:7" x14ac:dyDescent="0.4">
      <c r="A272" s="63"/>
      <c r="B272" s="64"/>
      <c r="C272" s="63"/>
      <c r="D272" s="63"/>
      <c r="E272" s="63"/>
      <c r="F272" s="65"/>
      <c r="G272" s="63"/>
    </row>
    <row r="273" spans="1:7" x14ac:dyDescent="0.4">
      <c r="A273" s="63"/>
      <c r="B273" s="64"/>
      <c r="C273" s="63"/>
      <c r="D273" s="58"/>
      <c r="E273" s="58"/>
      <c r="F273" s="60"/>
      <c r="G273" s="58"/>
    </row>
    <row r="274" spans="1:7" x14ac:dyDescent="0.4">
      <c r="A274" s="63"/>
      <c r="B274" s="64"/>
      <c r="C274" s="63"/>
      <c r="D274" s="58"/>
      <c r="E274" s="58"/>
      <c r="F274" s="60"/>
      <c r="G274" s="58"/>
    </row>
    <row r="275" spans="1:7" x14ac:dyDescent="0.4">
      <c r="A275" s="63"/>
      <c r="B275" s="64"/>
      <c r="C275" s="63"/>
      <c r="D275" s="58"/>
      <c r="E275" s="58"/>
      <c r="F275" s="60"/>
      <c r="G275" s="58"/>
    </row>
    <row r="276" spans="1:7" x14ac:dyDescent="0.4">
      <c r="A276" s="63"/>
      <c r="B276" s="64"/>
      <c r="C276" s="63"/>
      <c r="D276" s="63"/>
      <c r="E276" s="63"/>
      <c r="F276" s="65"/>
      <c r="G276" s="63"/>
    </row>
    <row r="277" spans="1:7" x14ac:dyDescent="0.4">
      <c r="A277" s="63"/>
      <c r="B277" s="64"/>
      <c r="C277" s="63"/>
      <c r="D277" s="63"/>
      <c r="E277" s="63"/>
      <c r="F277" s="65"/>
      <c r="G277" s="63"/>
    </row>
    <row r="278" spans="1:7" x14ac:dyDescent="0.4">
      <c r="A278" s="63"/>
      <c r="B278" s="64"/>
      <c r="C278" s="63"/>
      <c r="D278" s="63"/>
      <c r="E278" s="63"/>
      <c r="F278" s="65"/>
      <c r="G278" s="63"/>
    </row>
    <row r="279" spans="1:7" x14ac:dyDescent="0.4">
      <c r="A279" s="63"/>
      <c r="B279" s="64"/>
      <c r="C279" s="63"/>
      <c r="D279" s="58"/>
      <c r="E279" s="58"/>
      <c r="F279" s="60"/>
      <c r="G279" s="58"/>
    </row>
    <row r="280" spans="1:7" x14ac:dyDescent="0.4">
      <c r="A280" s="63"/>
      <c r="B280" s="64"/>
      <c r="C280" s="63"/>
      <c r="D280" s="63"/>
      <c r="E280" s="63"/>
      <c r="F280" s="65"/>
      <c r="G280" s="63"/>
    </row>
    <row r="281" spans="1:7" x14ac:dyDescent="0.4">
      <c r="A281" s="63"/>
      <c r="B281" s="64"/>
      <c r="C281" s="63"/>
      <c r="D281" s="58"/>
      <c r="E281" s="58"/>
      <c r="F281" s="60"/>
      <c r="G281" s="58"/>
    </row>
    <row r="282" spans="1:7" x14ac:dyDescent="0.4">
      <c r="A282" s="63"/>
      <c r="B282" s="64"/>
      <c r="C282" s="63"/>
      <c r="D282" s="58"/>
      <c r="E282" s="58"/>
      <c r="F282" s="60"/>
      <c r="G282" s="58"/>
    </row>
    <row r="283" spans="1:7" x14ac:dyDescent="0.4">
      <c r="A283" s="63"/>
      <c r="B283" s="64"/>
      <c r="C283" s="63"/>
      <c r="D283" s="63"/>
      <c r="E283" s="63"/>
      <c r="F283" s="65"/>
      <c r="G283" s="58"/>
    </row>
    <row r="284" spans="1:7" x14ac:dyDescent="0.4">
      <c r="A284" s="63"/>
      <c r="B284" s="64"/>
      <c r="C284" s="63"/>
      <c r="D284" s="63"/>
      <c r="E284" s="63"/>
      <c r="F284" s="65"/>
      <c r="G284" s="58"/>
    </row>
    <row r="285" spans="1:7" x14ac:dyDescent="0.4">
      <c r="A285" s="63"/>
      <c r="B285" s="64"/>
      <c r="C285" s="63"/>
      <c r="D285" s="63"/>
      <c r="E285" s="63"/>
      <c r="F285" s="65"/>
      <c r="G285" s="58"/>
    </row>
    <row r="286" spans="1:7" x14ac:dyDescent="0.4">
      <c r="A286" s="63"/>
      <c r="B286" s="64"/>
      <c r="C286" s="63"/>
      <c r="D286" s="58"/>
      <c r="E286" s="58"/>
      <c r="F286" s="60"/>
      <c r="G286" s="58"/>
    </row>
    <row r="287" spans="1:7" x14ac:dyDescent="0.4">
      <c r="A287" s="63"/>
      <c r="B287" s="64"/>
      <c r="C287" s="63"/>
      <c r="D287" s="63"/>
      <c r="E287" s="63"/>
      <c r="F287" s="65"/>
      <c r="G287" s="58"/>
    </row>
    <row r="288" spans="1:7" x14ac:dyDescent="0.4">
      <c r="A288" s="63"/>
      <c r="B288" s="64"/>
      <c r="C288" s="63"/>
      <c r="D288" s="63"/>
      <c r="E288" s="63"/>
      <c r="F288" s="65"/>
      <c r="G288" s="58"/>
    </row>
    <row r="289" spans="1:7" x14ac:dyDescent="0.4">
      <c r="A289" s="63"/>
      <c r="B289" s="64"/>
      <c r="C289" s="63"/>
      <c r="D289" s="63"/>
      <c r="E289" s="63"/>
      <c r="F289" s="65"/>
      <c r="G289" s="58"/>
    </row>
    <row r="290" spans="1:7" x14ac:dyDescent="0.4">
      <c r="A290" s="63"/>
      <c r="B290" s="64"/>
      <c r="C290" s="63"/>
      <c r="D290" s="58"/>
      <c r="E290" s="58"/>
      <c r="F290" s="60"/>
      <c r="G290" s="58"/>
    </row>
    <row r="291" spans="1:7" x14ac:dyDescent="0.4">
      <c r="A291" s="63"/>
      <c r="B291" s="64"/>
      <c r="C291" s="63"/>
      <c r="D291" s="63"/>
      <c r="E291" s="63"/>
      <c r="F291" s="65"/>
      <c r="G291" s="58"/>
    </row>
    <row r="292" spans="1:7" x14ac:dyDescent="0.4">
      <c r="A292" s="63"/>
      <c r="B292" s="64"/>
      <c r="C292" s="63"/>
      <c r="D292" s="63"/>
      <c r="E292" s="63"/>
      <c r="F292" s="65"/>
      <c r="G292" s="58"/>
    </row>
    <row r="293" spans="1:7" x14ac:dyDescent="0.4">
      <c r="A293" s="63"/>
      <c r="B293" s="64"/>
      <c r="C293" s="63"/>
      <c r="D293" s="63"/>
      <c r="E293" s="63"/>
      <c r="F293" s="65"/>
      <c r="G293" s="63"/>
    </row>
    <row r="294" spans="1:7" x14ac:dyDescent="0.4">
      <c r="A294" s="63"/>
      <c r="B294" s="64"/>
      <c r="C294" s="63"/>
      <c r="D294" s="63"/>
      <c r="E294" s="63"/>
      <c r="F294" s="65"/>
      <c r="G294" s="63"/>
    </row>
    <row r="295" spans="1:7" x14ac:dyDescent="0.4">
      <c r="A295" s="63"/>
      <c r="B295" s="64"/>
      <c r="C295" s="63"/>
      <c r="D295" s="58"/>
      <c r="E295" s="58"/>
      <c r="F295" s="60"/>
      <c r="G295" s="58"/>
    </row>
    <row r="296" spans="1:7" x14ac:dyDescent="0.4">
      <c r="A296" s="63"/>
      <c r="B296" s="64"/>
      <c r="C296" s="63"/>
      <c r="D296" s="58"/>
      <c r="E296" s="58"/>
      <c r="F296" s="60"/>
      <c r="G296" s="58"/>
    </row>
    <row r="297" spans="1:7" x14ac:dyDescent="0.4">
      <c r="A297" s="63"/>
      <c r="B297" s="64"/>
      <c r="C297" s="63"/>
      <c r="D297" s="58"/>
      <c r="E297" s="58"/>
      <c r="F297" s="60"/>
      <c r="G297" s="58"/>
    </row>
    <row r="298" spans="1:7" x14ac:dyDescent="0.4">
      <c r="A298" s="63"/>
      <c r="B298" s="64"/>
      <c r="C298" s="63"/>
      <c r="D298" s="63"/>
      <c r="E298" s="63"/>
      <c r="F298" s="65"/>
      <c r="G298" s="63"/>
    </row>
    <row r="299" spans="1:7" x14ac:dyDescent="0.4">
      <c r="A299" s="63"/>
      <c r="B299" s="64"/>
      <c r="C299" s="63"/>
      <c r="D299" s="63"/>
      <c r="E299" s="63"/>
      <c r="F299" s="65"/>
      <c r="G299" s="63"/>
    </row>
    <row r="300" spans="1:7" x14ac:dyDescent="0.4">
      <c r="A300" s="63"/>
      <c r="B300" s="64"/>
      <c r="C300" s="63"/>
      <c r="D300" s="63"/>
      <c r="E300" s="63"/>
      <c r="F300" s="65"/>
      <c r="G300" s="58"/>
    </row>
    <row r="301" spans="1:7" x14ac:dyDescent="0.4">
      <c r="A301" s="63"/>
      <c r="B301" s="64"/>
      <c r="C301" s="63"/>
      <c r="D301" s="63"/>
      <c r="E301" s="63"/>
      <c r="F301" s="65"/>
      <c r="G301" s="58"/>
    </row>
    <row r="302" spans="1:7" x14ac:dyDescent="0.4">
      <c r="A302" s="63"/>
      <c r="B302" s="64"/>
      <c r="C302" s="63"/>
      <c r="D302" s="58"/>
      <c r="E302" s="58"/>
      <c r="F302" s="60"/>
      <c r="G302" s="58"/>
    </row>
    <row r="303" spans="1:7" x14ac:dyDescent="0.4">
      <c r="A303" s="63"/>
      <c r="B303" s="64"/>
      <c r="C303" s="63"/>
      <c r="D303" s="63"/>
      <c r="E303" s="63"/>
      <c r="F303" s="65"/>
      <c r="G303" s="58"/>
    </row>
    <row r="304" spans="1:7" x14ac:dyDescent="0.4">
      <c r="A304" s="63"/>
      <c r="B304" s="64"/>
      <c r="C304" s="63"/>
      <c r="D304" s="63"/>
      <c r="E304" s="63"/>
      <c r="F304" s="65"/>
      <c r="G304" s="63"/>
    </row>
    <row r="305" spans="1:7" x14ac:dyDescent="0.4">
      <c r="A305" s="63"/>
      <c r="B305" s="64"/>
      <c r="C305" s="63"/>
      <c r="D305" s="63"/>
      <c r="E305" s="63"/>
      <c r="F305" s="65"/>
      <c r="G305" s="63"/>
    </row>
    <row r="306" spans="1:7" x14ac:dyDescent="0.4">
      <c r="A306" s="63"/>
      <c r="B306" s="64"/>
      <c r="C306" s="63"/>
      <c r="D306" s="63"/>
      <c r="E306" s="63"/>
      <c r="F306" s="65"/>
      <c r="G306" s="63"/>
    </row>
    <row r="307" spans="1:7" x14ac:dyDescent="0.4">
      <c r="A307" s="63"/>
      <c r="B307" s="64"/>
      <c r="C307" s="63"/>
      <c r="D307" s="63"/>
      <c r="E307" s="63"/>
      <c r="F307" s="65"/>
      <c r="G307" s="63"/>
    </row>
    <row r="308" spans="1:7" x14ac:dyDescent="0.4">
      <c r="A308" s="63"/>
      <c r="B308" s="64"/>
      <c r="C308" s="63"/>
      <c r="D308" s="63"/>
      <c r="E308" s="63"/>
      <c r="F308" s="65"/>
      <c r="G308" s="63"/>
    </row>
    <row r="309" spans="1:7" x14ac:dyDescent="0.4">
      <c r="A309" s="63"/>
      <c r="B309" s="64"/>
      <c r="C309" s="63"/>
      <c r="D309" s="63"/>
      <c r="E309" s="63"/>
      <c r="F309" s="65"/>
      <c r="G309" s="63"/>
    </row>
    <row r="310" spans="1:7" x14ac:dyDescent="0.4">
      <c r="A310" s="63"/>
      <c r="B310" s="64"/>
      <c r="C310" s="63"/>
      <c r="D310" s="63"/>
      <c r="E310" s="63"/>
      <c r="F310" s="65"/>
      <c r="G310" s="63"/>
    </row>
    <row r="311" spans="1:7" x14ac:dyDescent="0.4">
      <c r="A311" s="63"/>
      <c r="B311" s="64"/>
      <c r="C311" s="63"/>
      <c r="D311" s="63"/>
      <c r="E311" s="63"/>
      <c r="F311" s="65"/>
      <c r="G311" s="63"/>
    </row>
    <row r="312" spans="1:7" x14ac:dyDescent="0.4">
      <c r="A312" s="63"/>
      <c r="B312" s="64"/>
      <c r="C312" s="63"/>
      <c r="D312" s="63"/>
      <c r="E312" s="63"/>
      <c r="F312" s="65"/>
      <c r="G312" s="63"/>
    </row>
    <row r="313" spans="1:7" x14ac:dyDescent="0.4">
      <c r="A313" s="63"/>
      <c r="B313" s="64"/>
      <c r="C313" s="63"/>
      <c r="D313" s="63"/>
      <c r="E313" s="63"/>
      <c r="F313" s="65"/>
      <c r="G313" s="63"/>
    </row>
    <row r="314" spans="1:7" x14ac:dyDescent="0.4">
      <c r="A314" s="63"/>
      <c r="B314" s="64"/>
      <c r="C314" s="63"/>
      <c r="D314" s="63"/>
      <c r="E314" s="63"/>
      <c r="F314" s="65"/>
      <c r="G314" s="63"/>
    </row>
    <row r="315" spans="1:7" x14ac:dyDescent="0.4">
      <c r="A315" s="63"/>
      <c r="B315" s="64"/>
      <c r="C315" s="63"/>
      <c r="D315" s="63"/>
      <c r="E315" s="63"/>
      <c r="F315" s="65"/>
      <c r="G315" s="63"/>
    </row>
    <row r="316" spans="1:7" x14ac:dyDescent="0.4">
      <c r="A316" s="63"/>
      <c r="B316" s="64"/>
      <c r="C316" s="63"/>
      <c r="D316" s="63"/>
      <c r="E316" s="63"/>
      <c r="F316" s="65"/>
      <c r="G316" s="63"/>
    </row>
    <row r="317" spans="1:7" x14ac:dyDescent="0.4">
      <c r="A317" s="63"/>
      <c r="B317" s="64"/>
      <c r="C317" s="63"/>
      <c r="D317" s="63"/>
      <c r="E317" s="63"/>
      <c r="F317" s="65"/>
      <c r="G317" s="63"/>
    </row>
    <row r="318" spans="1:7" x14ac:dyDescent="0.4">
      <c r="A318" s="63"/>
      <c r="B318" s="64"/>
      <c r="C318" s="63"/>
      <c r="D318" s="63"/>
      <c r="E318" s="63"/>
      <c r="F318" s="65"/>
      <c r="G318" s="63"/>
    </row>
    <row r="319" spans="1:7" x14ac:dyDescent="0.4">
      <c r="A319" s="63"/>
      <c r="B319" s="64"/>
      <c r="C319" s="63"/>
      <c r="D319" s="63"/>
      <c r="E319" s="63"/>
      <c r="F319" s="65"/>
      <c r="G319" s="63"/>
    </row>
    <row r="320" spans="1:7" x14ac:dyDescent="0.4">
      <c r="A320" s="63"/>
      <c r="B320" s="64"/>
      <c r="C320" s="63"/>
      <c r="D320" s="63"/>
      <c r="E320" s="63"/>
      <c r="F320" s="65"/>
      <c r="G320" s="63"/>
    </row>
    <row r="321" spans="1:7" x14ac:dyDescent="0.4">
      <c r="A321" s="63"/>
      <c r="B321" s="64"/>
      <c r="C321" s="63"/>
      <c r="D321" s="63"/>
      <c r="E321" s="63"/>
      <c r="F321" s="65"/>
      <c r="G321" s="63"/>
    </row>
    <row r="322" spans="1:7" x14ac:dyDescent="0.4">
      <c r="A322" s="63"/>
      <c r="B322" s="64"/>
      <c r="C322" s="63"/>
      <c r="D322" s="63"/>
      <c r="E322" s="63"/>
      <c r="F322" s="65"/>
      <c r="G322" s="63"/>
    </row>
    <row r="323" spans="1:7" x14ac:dyDescent="0.4">
      <c r="A323" s="63"/>
      <c r="B323" s="64"/>
      <c r="C323" s="63"/>
      <c r="D323" s="63"/>
      <c r="E323" s="63"/>
      <c r="F323" s="65"/>
      <c r="G323" s="63"/>
    </row>
    <row r="324" spans="1:7" x14ac:dyDescent="0.4">
      <c r="A324" s="63"/>
      <c r="B324" s="64"/>
      <c r="C324" s="63"/>
      <c r="D324" s="63"/>
      <c r="E324" s="63"/>
      <c r="F324" s="65"/>
      <c r="G324" s="63"/>
    </row>
    <row r="325" spans="1:7" x14ac:dyDescent="0.4">
      <c r="A325" s="63"/>
      <c r="B325" s="64"/>
      <c r="C325" s="63"/>
      <c r="D325" s="63"/>
      <c r="E325" s="63"/>
      <c r="F325" s="65"/>
      <c r="G325" s="63"/>
    </row>
    <row r="326" spans="1:7" x14ac:dyDescent="0.4">
      <c r="A326" s="63"/>
      <c r="B326" s="64"/>
      <c r="C326" s="63"/>
      <c r="D326" s="63"/>
      <c r="E326" s="63"/>
      <c r="F326" s="65"/>
      <c r="G326" s="63"/>
    </row>
    <row r="327" spans="1:7" x14ac:dyDescent="0.4">
      <c r="A327" s="63"/>
      <c r="B327" s="64"/>
      <c r="C327" s="63"/>
      <c r="D327" s="63"/>
      <c r="E327" s="63"/>
      <c r="F327" s="65"/>
      <c r="G327" s="63"/>
    </row>
    <row r="328" spans="1:7" x14ac:dyDescent="0.4">
      <c r="A328" s="63"/>
      <c r="B328" s="64"/>
      <c r="C328" s="63"/>
      <c r="D328" s="63"/>
      <c r="E328" s="63"/>
      <c r="F328" s="65"/>
      <c r="G328" s="63"/>
    </row>
    <row r="329" spans="1:7" x14ac:dyDescent="0.4">
      <c r="A329" s="63"/>
      <c r="B329" s="64"/>
      <c r="C329" s="63"/>
      <c r="D329" s="58"/>
      <c r="E329" s="58"/>
      <c r="F329" s="60"/>
      <c r="G329" s="58"/>
    </row>
    <row r="330" spans="1:7" x14ac:dyDescent="0.4">
      <c r="A330" s="63"/>
      <c r="B330" s="64"/>
      <c r="C330" s="63"/>
      <c r="D330" s="58"/>
      <c r="E330" s="58"/>
      <c r="F330" s="60"/>
      <c r="G330" s="58"/>
    </row>
    <row r="331" spans="1:7" x14ac:dyDescent="0.4">
      <c r="A331" s="63"/>
      <c r="B331" s="64"/>
      <c r="C331" s="63"/>
      <c r="D331" s="58"/>
      <c r="E331" s="58"/>
      <c r="F331" s="60"/>
      <c r="G331" s="58"/>
    </row>
    <row r="332" spans="1:7" x14ac:dyDescent="0.4">
      <c r="A332" s="63"/>
      <c r="B332" s="64"/>
      <c r="C332" s="63"/>
      <c r="D332" s="58"/>
      <c r="E332" s="58"/>
      <c r="F332" s="60"/>
      <c r="G332" s="58"/>
    </row>
    <row r="333" spans="1:7" x14ac:dyDescent="0.4">
      <c r="A333" s="63"/>
      <c r="B333" s="64"/>
      <c r="C333" s="63"/>
      <c r="D333" s="63"/>
      <c r="E333" s="63"/>
      <c r="F333" s="65"/>
      <c r="G333" s="63"/>
    </row>
    <row r="334" spans="1:7" x14ac:dyDescent="0.4">
      <c r="A334" s="63"/>
      <c r="B334" s="64"/>
      <c r="C334" s="63"/>
      <c r="D334" s="63"/>
      <c r="E334" s="63"/>
      <c r="F334" s="65"/>
      <c r="G334" s="63"/>
    </row>
    <row r="335" spans="1:7" x14ac:dyDescent="0.4">
      <c r="A335" s="63"/>
      <c r="B335" s="64"/>
      <c r="C335" s="63"/>
      <c r="D335" s="63"/>
      <c r="E335" s="63"/>
      <c r="F335" s="65"/>
      <c r="G335" s="63"/>
    </row>
    <row r="336" spans="1:7" x14ac:dyDescent="0.4">
      <c r="A336" s="63"/>
      <c r="B336" s="64"/>
      <c r="C336" s="63"/>
      <c r="D336" s="63"/>
      <c r="E336" s="63"/>
      <c r="F336" s="65"/>
      <c r="G336" s="63"/>
    </row>
    <row r="337" spans="1:7" x14ac:dyDescent="0.4">
      <c r="A337" s="63"/>
      <c r="B337" s="64"/>
      <c r="C337" s="63"/>
      <c r="D337" s="63"/>
      <c r="E337" s="63"/>
      <c r="F337" s="65"/>
      <c r="G337" s="63"/>
    </row>
    <row r="338" spans="1:7" x14ac:dyDescent="0.4">
      <c r="A338" s="63"/>
      <c r="B338" s="64"/>
      <c r="C338" s="63"/>
      <c r="D338" s="63"/>
      <c r="E338" s="63"/>
      <c r="F338" s="65"/>
      <c r="G338" s="63"/>
    </row>
    <row r="339" spans="1:7" x14ac:dyDescent="0.4">
      <c r="A339" s="63"/>
      <c r="B339" s="64"/>
      <c r="C339" s="63"/>
      <c r="D339" s="63"/>
      <c r="E339" s="63"/>
      <c r="F339" s="65"/>
      <c r="G339" s="63"/>
    </row>
    <row r="340" spans="1:7" x14ac:dyDescent="0.4">
      <c r="A340" s="63"/>
      <c r="B340" s="64"/>
      <c r="C340" s="63"/>
      <c r="D340" s="63"/>
      <c r="E340" s="63"/>
      <c r="F340" s="65"/>
      <c r="G340" s="63"/>
    </row>
    <row r="341" spans="1:7" x14ac:dyDescent="0.4">
      <c r="A341" s="63"/>
      <c r="B341" s="64"/>
      <c r="C341" s="63"/>
      <c r="D341" s="63"/>
      <c r="E341" s="63"/>
      <c r="F341" s="65"/>
      <c r="G341" s="63"/>
    </row>
    <row r="342" spans="1:7" x14ac:dyDescent="0.4">
      <c r="A342" s="63"/>
      <c r="B342" s="64"/>
      <c r="C342" s="63"/>
      <c r="D342" s="63"/>
      <c r="E342" s="63"/>
      <c r="F342" s="65"/>
      <c r="G342" s="63"/>
    </row>
    <row r="343" spans="1:7" x14ac:dyDescent="0.4">
      <c r="A343" s="63"/>
      <c r="B343" s="64"/>
      <c r="C343" s="63"/>
      <c r="D343" s="63"/>
      <c r="E343" s="63"/>
      <c r="F343" s="65"/>
      <c r="G343" s="63"/>
    </row>
    <row r="344" spans="1:7" x14ac:dyDescent="0.4">
      <c r="A344" s="63"/>
      <c r="B344" s="64"/>
      <c r="C344" s="63"/>
      <c r="D344" s="63"/>
      <c r="E344" s="63"/>
      <c r="F344" s="65"/>
      <c r="G344" s="63"/>
    </row>
    <row r="345" spans="1:7" x14ac:dyDescent="0.4">
      <c r="A345" s="63"/>
      <c r="B345" s="64"/>
      <c r="C345" s="63"/>
      <c r="D345" s="63"/>
      <c r="E345" s="63"/>
      <c r="F345" s="65"/>
      <c r="G345" s="63"/>
    </row>
    <row r="346" spans="1:7" x14ac:dyDescent="0.4">
      <c r="A346" s="63"/>
      <c r="B346" s="64"/>
      <c r="C346" s="63"/>
      <c r="D346" s="63"/>
      <c r="E346" s="63"/>
      <c r="F346" s="65"/>
      <c r="G346" s="63"/>
    </row>
    <row r="347" spans="1:7" x14ac:dyDescent="0.4">
      <c r="A347" s="63"/>
      <c r="B347" s="64"/>
      <c r="C347" s="63"/>
      <c r="D347" s="63"/>
      <c r="E347" s="63"/>
      <c r="F347" s="65"/>
      <c r="G347" s="63"/>
    </row>
    <row r="348" spans="1:7" x14ac:dyDescent="0.4">
      <c r="A348" s="63"/>
      <c r="B348" s="64"/>
      <c r="C348" s="63"/>
      <c r="D348" s="63"/>
      <c r="E348" s="63"/>
      <c r="F348" s="65"/>
      <c r="G348" s="63"/>
    </row>
    <row r="349" spans="1:7" x14ac:dyDescent="0.4">
      <c r="A349" s="63"/>
      <c r="B349" s="64"/>
      <c r="C349" s="63"/>
      <c r="D349" s="63"/>
      <c r="E349" s="63"/>
      <c r="F349" s="65"/>
      <c r="G349" s="63"/>
    </row>
    <row r="350" spans="1:7" x14ac:dyDescent="0.4">
      <c r="A350" s="63"/>
      <c r="B350" s="64"/>
      <c r="C350" s="63"/>
      <c r="D350" s="63"/>
      <c r="E350" s="63"/>
      <c r="F350" s="65"/>
      <c r="G350" s="63"/>
    </row>
    <row r="351" spans="1:7" x14ac:dyDescent="0.4">
      <c r="A351" s="63"/>
      <c r="B351" s="64"/>
      <c r="C351" s="63"/>
      <c r="D351" s="63"/>
      <c r="E351" s="63"/>
      <c r="F351" s="65"/>
      <c r="G351" s="63"/>
    </row>
    <row r="352" spans="1:7" x14ac:dyDescent="0.4">
      <c r="A352" s="63"/>
      <c r="B352" s="64"/>
      <c r="C352" s="63"/>
      <c r="D352" s="63"/>
      <c r="E352" s="63"/>
      <c r="F352" s="65"/>
      <c r="G352" s="63"/>
    </row>
    <row r="353" spans="1:7" x14ac:dyDescent="0.4">
      <c r="A353" s="63"/>
      <c r="B353" s="64"/>
      <c r="C353" s="63"/>
      <c r="D353" s="63"/>
      <c r="E353" s="63"/>
      <c r="F353" s="65"/>
      <c r="G353" s="63"/>
    </row>
    <row r="354" spans="1:7" x14ac:dyDescent="0.4">
      <c r="A354" s="63"/>
      <c r="B354" s="64"/>
      <c r="C354" s="63"/>
      <c r="D354" s="63"/>
      <c r="E354" s="63"/>
      <c r="F354" s="65"/>
      <c r="G354" s="63"/>
    </row>
    <row r="355" spans="1:7" x14ac:dyDescent="0.4">
      <c r="A355" s="63"/>
      <c r="B355" s="64"/>
      <c r="C355" s="63"/>
      <c r="D355" s="63"/>
      <c r="E355" s="63"/>
      <c r="F355" s="65"/>
      <c r="G355" s="63"/>
    </row>
    <row r="356" spans="1:7" x14ac:dyDescent="0.4">
      <c r="A356" s="63"/>
      <c r="B356" s="64"/>
      <c r="C356" s="63"/>
      <c r="D356" s="63"/>
      <c r="E356" s="63"/>
      <c r="F356" s="65"/>
      <c r="G356" s="63"/>
    </row>
    <row r="357" spans="1:7" x14ac:dyDescent="0.4">
      <c r="A357" s="63"/>
      <c r="B357" s="64"/>
      <c r="C357" s="63"/>
      <c r="D357" s="63"/>
      <c r="E357" s="63"/>
      <c r="F357" s="65"/>
      <c r="G357" s="63"/>
    </row>
    <row r="358" spans="1:7" x14ac:dyDescent="0.4">
      <c r="A358" s="63"/>
      <c r="B358" s="64"/>
      <c r="C358" s="63"/>
      <c r="D358" s="63"/>
      <c r="E358" s="63"/>
      <c r="F358" s="65"/>
      <c r="G358" s="63"/>
    </row>
    <row r="359" spans="1:7" x14ac:dyDescent="0.4">
      <c r="A359" s="63"/>
      <c r="B359" s="64"/>
      <c r="C359" s="63"/>
      <c r="D359" s="63"/>
      <c r="E359" s="63"/>
      <c r="F359" s="65"/>
      <c r="G359" s="63"/>
    </row>
    <row r="360" spans="1:7" x14ac:dyDescent="0.4">
      <c r="A360" s="63"/>
      <c r="B360" s="64"/>
      <c r="C360" s="63"/>
      <c r="D360" s="63"/>
      <c r="E360" s="63"/>
      <c r="F360" s="65"/>
      <c r="G360" s="63"/>
    </row>
    <row r="361" spans="1:7" x14ac:dyDescent="0.4">
      <c r="A361" s="63"/>
      <c r="B361" s="64"/>
      <c r="C361" s="63"/>
      <c r="D361" s="63"/>
      <c r="E361" s="63"/>
      <c r="F361" s="65"/>
      <c r="G361" s="63"/>
    </row>
    <row r="362" spans="1:7" x14ac:dyDescent="0.4">
      <c r="A362" s="63"/>
      <c r="B362" s="64"/>
      <c r="C362" s="63"/>
      <c r="D362" s="63"/>
      <c r="E362" s="63"/>
      <c r="F362" s="65"/>
      <c r="G362" s="63"/>
    </row>
    <row r="363" spans="1:7" x14ac:dyDescent="0.4">
      <c r="A363" s="63"/>
      <c r="B363" s="64"/>
      <c r="C363" s="63"/>
      <c r="D363" s="63"/>
      <c r="E363" s="63"/>
      <c r="F363" s="65"/>
      <c r="G363" s="63"/>
    </row>
    <row r="364" spans="1:7" x14ac:dyDescent="0.4">
      <c r="A364" s="63"/>
      <c r="B364" s="64"/>
      <c r="C364" s="63"/>
      <c r="D364" s="63"/>
      <c r="E364" s="63"/>
      <c r="F364" s="65"/>
      <c r="G364" s="63"/>
    </row>
    <row r="365" spans="1:7" x14ac:dyDescent="0.4">
      <c r="A365" s="63"/>
      <c r="B365" s="64"/>
      <c r="C365" s="63"/>
      <c r="D365" s="63"/>
      <c r="E365" s="63"/>
      <c r="F365" s="65"/>
      <c r="G365" s="63"/>
    </row>
    <row r="366" spans="1:7" x14ac:dyDescent="0.4">
      <c r="A366" s="63"/>
      <c r="B366" s="64"/>
      <c r="C366" s="63"/>
      <c r="D366" s="63"/>
      <c r="E366" s="63"/>
      <c r="F366" s="65"/>
      <c r="G366" s="63"/>
    </row>
    <row r="367" spans="1:7" x14ac:dyDescent="0.4">
      <c r="A367" s="63"/>
      <c r="B367" s="64"/>
      <c r="C367" s="63"/>
      <c r="D367" s="63"/>
      <c r="E367" s="63"/>
      <c r="F367" s="65"/>
      <c r="G367" s="63"/>
    </row>
    <row r="368" spans="1:7" x14ac:dyDescent="0.4">
      <c r="A368" s="63"/>
      <c r="B368" s="64"/>
      <c r="C368" s="63"/>
      <c r="D368" s="63"/>
      <c r="E368" s="63"/>
      <c r="F368" s="65"/>
      <c r="G368" s="63"/>
    </row>
    <row r="369" spans="1:7" x14ac:dyDescent="0.4">
      <c r="A369" s="63"/>
      <c r="B369" s="64"/>
      <c r="C369" s="63"/>
      <c r="D369" s="63"/>
      <c r="E369" s="63"/>
      <c r="F369" s="65"/>
      <c r="G369" s="63"/>
    </row>
    <row r="370" spans="1:7" x14ac:dyDescent="0.4">
      <c r="A370" s="63"/>
      <c r="B370" s="64"/>
      <c r="C370" s="63"/>
      <c r="D370" s="63"/>
      <c r="E370" s="63"/>
      <c r="F370" s="65"/>
      <c r="G370" s="63"/>
    </row>
    <row r="371" spans="1:7" x14ac:dyDescent="0.4">
      <c r="A371" s="63"/>
      <c r="B371" s="64"/>
      <c r="C371" s="63"/>
      <c r="D371" s="63"/>
      <c r="E371" s="63"/>
      <c r="F371" s="65"/>
      <c r="G371" s="63"/>
    </row>
    <row r="372" spans="1:7" x14ac:dyDescent="0.4">
      <c r="A372" s="63"/>
      <c r="B372" s="64"/>
      <c r="C372" s="63"/>
      <c r="D372" s="63"/>
      <c r="E372" s="63"/>
      <c r="F372" s="65"/>
      <c r="G372" s="63"/>
    </row>
    <row r="373" spans="1:7" x14ac:dyDescent="0.4">
      <c r="A373" s="63"/>
      <c r="B373" s="64"/>
      <c r="C373" s="63"/>
      <c r="D373" s="63"/>
      <c r="E373" s="63"/>
      <c r="F373" s="65"/>
      <c r="G373" s="63"/>
    </row>
    <row r="374" spans="1:7" x14ac:dyDescent="0.4">
      <c r="A374" s="63"/>
      <c r="B374" s="64"/>
      <c r="C374" s="63"/>
      <c r="D374" s="63"/>
      <c r="E374" s="63"/>
      <c r="F374" s="65"/>
      <c r="G374" s="63"/>
    </row>
    <row r="375" spans="1:7" x14ac:dyDescent="0.4">
      <c r="A375" s="63"/>
      <c r="B375" s="64"/>
      <c r="C375" s="63"/>
      <c r="D375" s="63"/>
      <c r="E375" s="63"/>
      <c r="F375" s="65"/>
      <c r="G375" s="63"/>
    </row>
    <row r="376" spans="1:7" x14ac:dyDescent="0.4">
      <c r="A376" s="63"/>
      <c r="B376" s="64"/>
      <c r="C376" s="63"/>
      <c r="D376" s="63"/>
      <c r="E376" s="63"/>
      <c r="F376" s="65"/>
      <c r="G376" s="63"/>
    </row>
    <row r="377" spans="1:7" x14ac:dyDescent="0.4">
      <c r="A377" s="63"/>
      <c r="B377" s="64"/>
      <c r="C377" s="63"/>
      <c r="D377" s="63"/>
      <c r="E377" s="63"/>
      <c r="F377" s="65"/>
      <c r="G377" s="63"/>
    </row>
    <row r="378" spans="1:7" x14ac:dyDescent="0.4">
      <c r="A378" s="63"/>
      <c r="B378" s="64"/>
      <c r="C378" s="63"/>
      <c r="D378" s="63"/>
      <c r="E378" s="63"/>
      <c r="F378" s="65"/>
      <c r="G378" s="63"/>
    </row>
    <row r="379" spans="1:7" x14ac:dyDescent="0.4">
      <c r="A379" s="63"/>
      <c r="B379" s="64"/>
      <c r="C379" s="63"/>
      <c r="D379" s="63"/>
      <c r="E379" s="63"/>
      <c r="F379" s="65"/>
      <c r="G379" s="63"/>
    </row>
    <row r="380" spans="1:7" x14ac:dyDescent="0.4">
      <c r="A380" s="63"/>
      <c r="B380" s="64"/>
      <c r="C380" s="63"/>
      <c r="D380" s="63"/>
      <c r="E380" s="63"/>
      <c r="F380" s="65"/>
      <c r="G380" s="63"/>
    </row>
    <row r="381" spans="1:7" x14ac:dyDescent="0.4">
      <c r="A381" s="63"/>
      <c r="B381" s="64"/>
      <c r="C381" s="63"/>
      <c r="D381" s="63"/>
      <c r="E381" s="63"/>
      <c r="F381" s="65"/>
      <c r="G381" s="63"/>
    </row>
    <row r="382" spans="1:7" x14ac:dyDescent="0.4">
      <c r="A382" s="63"/>
      <c r="B382" s="64"/>
      <c r="C382" s="63"/>
      <c r="D382" s="63"/>
      <c r="E382" s="63"/>
      <c r="F382" s="65"/>
      <c r="G382" s="63"/>
    </row>
    <row r="383" spans="1:7" x14ac:dyDescent="0.4">
      <c r="A383" s="63"/>
      <c r="B383" s="64"/>
      <c r="C383" s="63"/>
      <c r="D383" s="63"/>
      <c r="E383" s="63"/>
      <c r="F383" s="65"/>
      <c r="G383" s="63"/>
    </row>
    <row r="384" spans="1:7" x14ac:dyDescent="0.4">
      <c r="A384" s="63"/>
      <c r="B384" s="64"/>
      <c r="C384" s="63"/>
      <c r="D384" s="63"/>
      <c r="E384" s="63"/>
      <c r="F384" s="65"/>
      <c r="G384" s="63"/>
    </row>
    <row r="385" spans="1:7" x14ac:dyDescent="0.4">
      <c r="A385" s="63"/>
      <c r="B385" s="64"/>
      <c r="C385" s="63"/>
      <c r="D385" s="63"/>
      <c r="E385" s="63"/>
      <c r="F385" s="65"/>
      <c r="G385" s="63"/>
    </row>
    <row r="386" spans="1:7" x14ac:dyDescent="0.4">
      <c r="A386" s="63"/>
      <c r="B386" s="64"/>
      <c r="C386" s="63"/>
      <c r="D386" s="63"/>
      <c r="E386" s="63"/>
      <c r="F386" s="65"/>
      <c r="G386" s="63"/>
    </row>
    <row r="387" spans="1:7" x14ac:dyDescent="0.4">
      <c r="A387" s="63"/>
      <c r="B387" s="64"/>
      <c r="C387" s="63"/>
      <c r="D387" s="63"/>
      <c r="E387" s="63"/>
      <c r="F387" s="65"/>
      <c r="G387" s="63"/>
    </row>
    <row r="388" spans="1:7" x14ac:dyDescent="0.4">
      <c r="A388" s="63"/>
      <c r="B388" s="64"/>
      <c r="C388" s="63"/>
      <c r="D388" s="63"/>
      <c r="E388" s="63"/>
      <c r="F388" s="65"/>
      <c r="G388" s="63"/>
    </row>
    <row r="389" spans="1:7" x14ac:dyDescent="0.4">
      <c r="A389" s="63"/>
      <c r="B389" s="64"/>
      <c r="C389" s="63"/>
      <c r="D389" s="63"/>
      <c r="E389" s="63"/>
      <c r="F389" s="65"/>
      <c r="G389" s="63"/>
    </row>
    <row r="390" spans="1:7" x14ac:dyDescent="0.4">
      <c r="A390" s="63"/>
      <c r="B390" s="64"/>
      <c r="C390" s="63"/>
      <c r="D390" s="63"/>
      <c r="E390" s="63"/>
      <c r="F390" s="65"/>
      <c r="G390" s="63"/>
    </row>
    <row r="391" spans="1:7" x14ac:dyDescent="0.4">
      <c r="A391" s="63"/>
      <c r="B391" s="64"/>
      <c r="C391" s="63"/>
      <c r="D391" s="63"/>
      <c r="E391" s="63"/>
      <c r="F391" s="65"/>
      <c r="G391" s="63"/>
    </row>
    <row r="392" spans="1:7" x14ac:dyDescent="0.4">
      <c r="A392" s="63"/>
      <c r="B392" s="64"/>
      <c r="C392" s="63"/>
      <c r="D392" s="63"/>
      <c r="E392" s="63"/>
      <c r="F392" s="65"/>
      <c r="G392" s="63"/>
    </row>
    <row r="393" spans="1:7" x14ac:dyDescent="0.4">
      <c r="A393" s="63"/>
      <c r="B393" s="64"/>
      <c r="C393" s="63"/>
      <c r="D393" s="63"/>
      <c r="E393" s="63"/>
      <c r="F393" s="65"/>
      <c r="G393" s="63"/>
    </row>
    <row r="394" spans="1:7" x14ac:dyDescent="0.4">
      <c r="A394" s="63"/>
      <c r="B394" s="64"/>
      <c r="C394" s="63"/>
      <c r="D394" s="63"/>
      <c r="E394" s="63"/>
      <c r="F394" s="65"/>
      <c r="G394" s="63"/>
    </row>
    <row r="395" spans="1:7" x14ac:dyDescent="0.4">
      <c r="A395" s="63"/>
      <c r="B395" s="64"/>
      <c r="C395" s="63"/>
      <c r="D395" s="63"/>
      <c r="E395" s="63"/>
      <c r="F395" s="65"/>
      <c r="G395" s="63"/>
    </row>
    <row r="396" spans="1:7" x14ac:dyDescent="0.4">
      <c r="A396" s="63"/>
      <c r="B396" s="64"/>
      <c r="C396" s="63"/>
      <c r="D396" s="63"/>
      <c r="E396" s="63"/>
      <c r="F396" s="65"/>
      <c r="G396" s="63"/>
    </row>
    <row r="397" spans="1:7" x14ac:dyDescent="0.4">
      <c r="A397" s="63"/>
      <c r="B397" s="64"/>
      <c r="C397" s="63"/>
      <c r="D397" s="63"/>
      <c r="E397" s="63"/>
      <c r="F397" s="65"/>
      <c r="G397" s="63"/>
    </row>
    <row r="398" spans="1:7" x14ac:dyDescent="0.4">
      <c r="A398" s="63"/>
      <c r="B398" s="64"/>
      <c r="C398" s="63"/>
      <c r="D398" s="63"/>
      <c r="E398" s="63"/>
      <c r="F398" s="65"/>
      <c r="G398" s="63"/>
    </row>
    <row r="399" spans="1:7" x14ac:dyDescent="0.4">
      <c r="A399" s="63"/>
      <c r="B399" s="64"/>
      <c r="C399" s="63"/>
      <c r="D399" s="63"/>
      <c r="E399" s="63"/>
      <c r="F399" s="65"/>
      <c r="G399" s="63"/>
    </row>
    <row r="400" spans="1:7" x14ac:dyDescent="0.4">
      <c r="A400" s="63"/>
      <c r="B400" s="64"/>
      <c r="C400" s="63"/>
      <c r="D400" s="63"/>
      <c r="E400" s="63"/>
      <c r="F400" s="65"/>
      <c r="G400" s="63"/>
    </row>
    <row r="401" spans="1:7" x14ac:dyDescent="0.4">
      <c r="A401" s="63"/>
      <c r="B401" s="64"/>
      <c r="C401" s="63"/>
      <c r="D401" s="63"/>
      <c r="E401" s="63"/>
      <c r="F401" s="65"/>
      <c r="G401" s="63"/>
    </row>
    <row r="402" spans="1:7" x14ac:dyDescent="0.4">
      <c r="A402" s="63"/>
      <c r="B402" s="64"/>
      <c r="C402" s="63"/>
      <c r="D402" s="63"/>
      <c r="E402" s="63"/>
      <c r="F402" s="65"/>
      <c r="G402" s="63"/>
    </row>
    <row r="403" spans="1:7" x14ac:dyDescent="0.4">
      <c r="A403" s="63"/>
      <c r="B403" s="64"/>
      <c r="C403" s="63"/>
      <c r="D403" s="63"/>
      <c r="E403" s="63"/>
      <c r="F403" s="65"/>
      <c r="G403" s="63"/>
    </row>
    <row r="404" spans="1:7" x14ac:dyDescent="0.4">
      <c r="A404" s="63"/>
      <c r="B404" s="64"/>
      <c r="C404" s="63"/>
      <c r="D404" s="63"/>
      <c r="E404" s="63"/>
      <c r="F404" s="65"/>
      <c r="G404" s="63"/>
    </row>
    <row r="405" spans="1:7" x14ac:dyDescent="0.4">
      <c r="A405" s="63"/>
      <c r="B405" s="64"/>
      <c r="C405" s="63"/>
      <c r="D405" s="63"/>
      <c r="E405" s="63"/>
      <c r="F405" s="65"/>
      <c r="G405" s="63"/>
    </row>
    <row r="406" spans="1:7" x14ac:dyDescent="0.4">
      <c r="A406" s="63"/>
      <c r="B406" s="64"/>
      <c r="C406" s="63"/>
      <c r="D406" s="63"/>
      <c r="E406" s="63"/>
      <c r="F406" s="65"/>
      <c r="G406" s="63"/>
    </row>
    <row r="407" spans="1:7" x14ac:dyDescent="0.4">
      <c r="A407" s="63"/>
      <c r="B407" s="64"/>
      <c r="C407" s="63"/>
      <c r="D407" s="63"/>
      <c r="E407" s="63"/>
      <c r="F407" s="65"/>
      <c r="G407" s="63"/>
    </row>
    <row r="408" spans="1:7" x14ac:dyDescent="0.4">
      <c r="A408" s="63"/>
      <c r="B408" s="64"/>
      <c r="C408" s="63"/>
      <c r="D408" s="63"/>
      <c r="E408" s="63"/>
      <c r="F408" s="65"/>
      <c r="G408" s="63"/>
    </row>
    <row r="409" spans="1:7" x14ac:dyDescent="0.4">
      <c r="A409" s="63"/>
      <c r="B409" s="64"/>
      <c r="C409" s="63"/>
      <c r="D409" s="63"/>
      <c r="E409" s="63"/>
      <c r="F409" s="65"/>
      <c r="G409" s="63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2024-06-08T17:57:59Z</cp:lastPrinted>
  <dcterms:created xsi:type="dcterms:W3CDTF">2020-02-21T23:03:52Z</dcterms:created>
  <dcterms:modified xsi:type="dcterms:W3CDTF">2024-06-08T21:53:14Z</dcterms:modified>
</cp:coreProperties>
</file>