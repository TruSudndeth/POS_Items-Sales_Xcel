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F50B6D1B-0196-4ADE-94AD-E4E04E9125D8}" xr6:coauthVersionLast="47" xr6:coauthVersionMax="47" xr10:uidLastSave="{00000000-0000-0000-0000-000000000000}"/>
  <bookViews>
    <workbookView xWindow="3811" yWindow="552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D4" i="1"/>
  <c r="N27" i="1" l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B7" i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<sst xmlns="http://schemas.openxmlformats.org/spreadsheetml/2006/main" count="172" uniqueCount="77">
  <si>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</si>
  <si>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</si>
  <si>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</si>
  <si>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</si>
  <si>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</si>
  <si>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</si>
  <si>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</si>
  <si>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</si>
  <si>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</si>
  <si>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</si>
  <si>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</si>
  <si>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</si>
  <si>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</si>
  <si>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</si>
  <si>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</si>
  <si>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</si>
  <si>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</si>
  <si>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</si>
  <si>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</si>
  <si>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</si>
  <si>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</si>
  <si>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</si>
  <si>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</si>
  <si>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</si>
  <si>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</si>
  <si>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</si>
  <si>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</si>
  <si>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</si>
  <si>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</si>
  <si>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</si>
  <si>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</si>
  <si>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</si>
  <si>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</si>
  <si>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</si>
  <si>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</si>
  <si>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</si>
  <si>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</si>
  <si>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</si>
  <si>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</si>
  <si>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</si>
  <si>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</si>
  <si>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</si>
  <si>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</si>
  <si>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</si>
  <si>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</si>
  <si>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</si>
  <si>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</si>
  <si>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</si>
  <si>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</si>
  <si>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</si>
  <si>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</si>
  <si>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</si>
  <si>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</si>
  <si>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</si>
  <si>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</si>
  <si>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</si>
  <si>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</si>
  <si>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</si>
  <si>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</si>
  <si>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</si>
  <si>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</si>
  <si>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</si>
  <si>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</si>
  <si>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</si>
  <si>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</si>
  <si>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</si>
  <si>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</si>
  <si>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</si>
  <si>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</si>
  <si>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</si>
  <si>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@ 3.21%</t>
  </si>
  <si>
    <t>Price:</t>
  </si>
  <si>
    <t>Pay Type:</t>
  </si>
  <si>
    <t>Payment:</t>
  </si>
  <si>
    <t>Quantity:</t>
  </si>
  <si>
    <t>Removed:</t>
  </si>
  <si>
    <t>Item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</si>
</sst>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3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44" fontId="0" fillId="6" borderId="3" xfId="1" applyFont="1" applyFill="1" applyBorder="1" applyProtection="1"/>
    <xf numFmtId="44" fontId="0" fillId="6" borderId="9" xfId="1" applyFont="1" applyFill="1" applyBorder="1" applyProtection="1"/>
    <xf numFmtId="2" fontId="0" fillId="16" borderId="11" xfId="1" applyNumberFormat="1" applyFont="1" applyFill="1" applyBorder="1" applyProtection="1"/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9" fontId="0" fillId="0" borderId="1" xfId="0" applyNumberFormat="1" applyBorder="1" applyProtection="1"/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4" fillId="16" borderId="0" xfId="0" applyFont="1" applyFill="1" applyProtection="1"/>
    <xf numFmtId="7" fontId="4" fillId="16" borderId="0" xfId="0" applyNumberFormat="1" applyFont="1" applyFill="1" applyProtection="1"/>
    <xf numFmtId="164" fontId="4" fillId="16" borderId="0" xfId="0" applyNumberFormat="1" applyFont="1" applyFill="1" applyProtection="1"/>
    <xf numFmtId="0" fontId="0" fillId="16" borderId="0" xfId="0" applyFont="1" applyFill="1" applyProtection="1"/>
    <xf numFmtId="7" fontId="0" fillId="16" borderId="0" xfId="0" applyNumberFormat="1" applyFont="1" applyFill="1" applyProtection="1"/>
    <xf numFmtId="164" fontId="0" fillId="16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7" fontId="0" fillId="0" borderId="0" xfId="0" applyNumberFormat="1" applyFont="1" applyFill="1" applyProtection="1"/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file:///V:\MyDocs\Buisness\2024\Contracts\POS\VersionControl\Resources\Items\Banan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13</xdr:col>
      <xdr:colOff>947252</xdr:colOff>
      <xdr:row>33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752442"/>
          <a:ext cx="2937739" cy="785338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330" name="ItemPic" hidden="1">
          <a:extLst>
            <a:ext uri="{FF2B5EF4-FFF2-40B4-BE49-F238E27FC236}">
              <a16:creationId xmlns:a16="http://schemas.microsoft.com/office/drawing/2014/main" id="{421999D7-BA0E-4F14-AF29-B8005C017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4" name="ItemPic" hidden="1">
          <a:extLst>
            <a:ext uri="{FF2B5EF4-FFF2-40B4-BE49-F238E27FC236}">
              <a16:creationId xmlns:a16="http://schemas.microsoft.com/office/drawing/2014/main" id="{138686F7-3C87-4EC4-B305-4EF80404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H34" sqref="H34"/>
    </sheetView>
  </sheetViews>
  <sheetFormatPr defaultRowHeight="14.7" x14ac:dyDescent="0.4"/>
  <cols>
    <col min="1" max="1" width="11" style="59" bestFit="1" customWidth="1"/>
    <col min="2" max="2" width="19.53515625" style="59" customWidth="1"/>
    <col min="3" max="3" width="6.84375" style="59" customWidth="1"/>
    <col min="4" max="4" width="10.84375" style="59" bestFit="1" customWidth="1"/>
    <col min="5" max="8" width="9.23046875" style="59"/>
    <col min="9" max="9" width="16.61328125" style="59" customWidth="1"/>
    <col min="10" max="10" width="9.23046875" style="59"/>
    <col min="11" max="11" width="10.69140625" style="67" customWidth="1"/>
    <col min="12" max="12" width="8.07421875" style="67" customWidth="1"/>
    <col min="13" max="13" width="9.23046875" style="67"/>
    <col min="14" max="14" width="14.921875" style="73" customWidth="1"/>
    <col min="15" max="15" width="56.3046875" style="59" customWidth="1"/>
    <col min="16" max="16" width="9.23046875" style="59"/>
    <col min="17" max="17" width="17.3828125" style="59" customWidth="1"/>
    <col min="18" max="18" width="9.23046875" style="59"/>
    <col min="19" max="19" width="15.15234375" style="59" customWidth="1"/>
    <col min="20" max="22" width="9.23046875" style="59"/>
    <col min="23" max="23" width="16.07421875" style="59" customWidth="1"/>
    <col min="24" max="16384" width="9.23046875" style="59"/>
  </cols>
  <sheetData>
    <row r="1" spans="1:22" ht="41" x14ac:dyDescent="1.05">
      <c r="A1" s="56"/>
      <c r="B1" s="56"/>
      <c r="C1" s="91"/>
      <c r="D1" s="91"/>
      <c r="E1" s="91"/>
      <c r="F1" s="91"/>
      <c r="G1" s="91"/>
      <c r="H1" s="91"/>
      <c r="I1" s="91"/>
      <c r="J1" s="91"/>
      <c r="K1" s="97" t="s">
        <v>31</v>
      </c>
      <c r="L1" s="97"/>
      <c r="M1" s="97"/>
      <c r="N1" s="97"/>
      <c r="O1" s="57" t="s">
        <v>52</v>
      </c>
      <c r="P1" s="58"/>
      <c r="Q1" s="58"/>
      <c r="R1" s="58"/>
      <c r="S1" s="58"/>
      <c r="T1" s="58"/>
      <c r="U1" s="58"/>
      <c r="V1" s="58"/>
    </row>
    <row r="2" spans="1:22" ht="14.7" customHeight="1" x14ac:dyDescent="0.4">
      <c r="A2" s="56"/>
      <c r="B2" s="56"/>
      <c r="C2" s="60"/>
      <c r="D2" s="60"/>
      <c r="E2" s="60"/>
      <c r="F2" s="60"/>
      <c r="G2" s="60"/>
      <c r="H2" s="60"/>
      <c r="I2" s="60"/>
      <c r="J2" s="60"/>
      <c r="K2" s="98" t="s">
        <v>32</v>
      </c>
      <c r="L2" s="98"/>
      <c r="M2" s="98"/>
      <c r="N2" s="98"/>
      <c r="O2" s="60"/>
    </row>
    <row r="3" spans="1:22" ht="14.7" customHeight="1" x14ac:dyDescent="0.4">
      <c r="A3" s="56"/>
      <c r="B3" s="56"/>
      <c r="C3" s="61"/>
      <c r="D3" s="65" t="s">
        <v>69</v>
      </c>
      <c r="E3" s="92"/>
      <c r="F3" s="93"/>
      <c r="G3" s="61"/>
      <c r="H3" s="62" t="s">
        <v>26</v>
      </c>
      <c r="I3" s="53">
        <v>49.26</v>
      </c>
      <c r="J3" s="61"/>
      <c r="K3" s="98" t="s">
        <v>33</v>
      </c>
      <c r="L3" s="98"/>
      <c r="M3" s="98"/>
      <c r="N3" s="98"/>
      <c r="O3" s="61"/>
    </row>
    <row r="4" spans="1:22" ht="14.7" customHeight="1" x14ac:dyDescent="0.4">
      <c r="A4" s="63" t="s">
        <v>43</v>
      </c>
      <c r="B4" s="64" t="b">
        <v>0</v>
      </c>
      <c r="C4" s="61"/>
      <c r="D4" s="94" t="str">
        <f ca="1">IFERROR(INDEX(Item_Desc,MATCH(E3,Item_Name,0),1),"")</f>
        <v/>
      </c>
      <c r="E4" s="92"/>
      <c r="F4" s="93"/>
      <c r="G4" s="61"/>
      <c r="H4" s="62" t="s">
        <v>27</v>
      </c>
      <c r="I4" s="54">
        <f>ROUND(I3 * 0.0321, 2)</f>
        <v>1.58</v>
      </c>
      <c r="J4" s="66" t="s">
        <v>70</v>
      </c>
      <c r="K4" s="98" t="s">
        <v>34</v>
      </c>
      <c r="L4" s="98"/>
      <c r="M4" s="98"/>
      <c r="N4" s="98"/>
      <c r="O4" s="61"/>
    </row>
    <row r="5" spans="1:22" ht="14.7" customHeight="1" x14ac:dyDescent="0.4">
      <c r="A5" s="63" t="s">
        <v>44</v>
      </c>
      <c r="B5" s="64" t="str">
        <f ca="1">IFERROR(MATCH(E10,Item_ID,0)+2,"")</f>
        <v/>
      </c>
      <c r="C5" s="61"/>
      <c r="D5" s="61"/>
      <c r="E5" s="61"/>
      <c r="F5" s="61"/>
      <c r="G5" s="61"/>
      <c r="H5" s="62" t="s">
        <v>29</v>
      </c>
      <c r="I5" s="53">
        <f>SUM(I3:I4)</f>
        <v>50.839999999999996</v>
      </c>
      <c r="J5" s="61"/>
      <c r="L5" s="68" t="s">
        <v>35</v>
      </c>
      <c r="M5" s="90">
        <f ca="1">B7</f>
        <v>1004</v>
      </c>
      <c r="N5" s="90"/>
      <c r="O5" s="61"/>
    </row>
    <row r="6" spans="1:22" ht="14.7" customHeight="1" x14ac:dyDescent="0.4">
      <c r="A6" s="63" t="s">
        <v>45</v>
      </c>
      <c r="B6" s="64"/>
      <c r="C6" s="61"/>
      <c r="D6" s="61"/>
      <c r="E6" s="62" t="s">
        <v>71</v>
      </c>
      <c r="F6" s="2"/>
      <c r="G6" s="61"/>
      <c r="H6" s="62" t="s">
        <v>72</v>
      </c>
      <c r="I6" s="69" t="s">
        <v>68</v>
      </c>
      <c r="J6" s="61"/>
      <c r="L6" s="68" t="s">
        <v>36</v>
      </c>
      <c r="M6" s="99">
        <f ca="1">NOW()</f>
        <v>45453.977260185187</v>
      </c>
      <c r="N6" s="90"/>
      <c r="O6" s="61"/>
      <c r="S6" s="70"/>
    </row>
    <row r="7" spans="1:22" ht="14.7" customHeight="1" x14ac:dyDescent="0.4">
      <c r="A7" s="63" t="s">
        <v>46</v>
      </c>
      <c r="B7" s="64">
        <f ca="1">IFERROR(MAX(RecNumb)+1,B8)</f>
        <v>1004</v>
      </c>
      <c r="C7" s="61"/>
      <c r="D7" s="61"/>
      <c r="E7" s="61"/>
      <c r="F7" s="61"/>
      <c r="G7" s="61"/>
      <c r="H7" s="62" t="s">
        <v>73</v>
      </c>
      <c r="I7" s="2"/>
      <c r="J7" s="61"/>
      <c r="L7" s="68" t="s">
        <v>39</v>
      </c>
      <c r="M7" s="90" t="s">
        <v>38</v>
      </c>
      <c r="N7" s="90"/>
      <c r="O7" s="61"/>
    </row>
    <row r="8" spans="1:22" ht="14.7" customHeight="1" x14ac:dyDescent="0.4">
      <c r="A8" s="71" t="s">
        <v>67</v>
      </c>
      <c r="B8" s="71">
        <v>1000</v>
      </c>
      <c r="C8" s="61"/>
      <c r="D8" s="61"/>
      <c r="E8" s="62" t="s">
        <v>74</v>
      </c>
      <c r="F8" s="1"/>
      <c r="G8" s="61"/>
      <c r="H8" s="72" t="s">
        <v>30</v>
      </c>
      <c r="I8" s="55">
        <f>I7-I5</f>
        <v>-50.839999999999996</v>
      </c>
      <c r="J8" s="61"/>
      <c r="O8" s="61"/>
    </row>
    <row r="9" spans="1:22" x14ac:dyDescent="0.4">
      <c r="A9" s="56"/>
      <c r="B9" s="56"/>
      <c r="C9" s="61"/>
      <c r="D9" s="61"/>
      <c r="E9" s="61"/>
      <c r="F9" s="61"/>
      <c r="G9" s="61"/>
      <c r="H9" s="74" t="s">
        <v>75</v>
      </c>
      <c r="I9" s="75">
        <v>0.99</v>
      </c>
      <c r="J9" s="61"/>
      <c r="K9" s="76" t="s">
        <v>40</v>
      </c>
      <c r="L9" s="76" t="s">
        <v>41</v>
      </c>
      <c r="M9" s="76" t="s">
        <v>4</v>
      </c>
      <c r="N9" s="77" t="s">
        <v>28</v>
      </c>
      <c r="O9" s="61"/>
      <c r="R9" s="78"/>
    </row>
    <row r="10" spans="1:22" x14ac:dyDescent="0.4">
      <c r="A10" s="79" t="s">
        <v>26</v>
      </c>
      <c r="B10" s="80">
        <f>I3</f>
        <v>49.26</v>
      </c>
      <c r="C10" s="61"/>
      <c r="D10" s="81" t="s">
        <v>76</v>
      </c>
      <c r="E10" s="95"/>
      <c r="F10" s="96"/>
      <c r="G10" s="61"/>
      <c r="H10" s="61"/>
      <c r="I10" s="61"/>
      <c r="J10" s="61"/>
      <c r="K10" s="82" t="s">
        <v>8</v>
      </c>
      <c r="L10" s="82">
        <v>1</v>
      </c>
      <c r="M10" s="83">
        <v>0.99</v>
      </c>
      <c r="N10" s="84">
        <f t="shared" ref="N10:N27" si="0">ROUND(L10*M10, 2)</f>
        <v>0.99</v>
      </c>
      <c r="O10" s="61"/>
      <c r="R10" s="78"/>
    </row>
    <row r="11" spans="1:22" x14ac:dyDescent="0.4">
      <c r="A11" s="79" t="s">
        <v>27</v>
      </c>
      <c r="B11" s="80">
        <f>I4</f>
        <v>1.58</v>
      </c>
      <c r="C11" s="61"/>
      <c r="D11" s="61"/>
      <c r="E11" s="61"/>
      <c r="F11" s="61"/>
      <c r="G11" s="61"/>
      <c r="H11" s="61"/>
      <c r="I11" s="61"/>
      <c r="J11" s="61"/>
      <c r="K11" s="85" t="s">
        <v>6</v>
      </c>
      <c r="L11" s="85">
        <v>1</v>
      </c>
      <c r="M11" s="86">
        <v>2.99</v>
      </c>
      <c r="N11" s="87">
        <f t="shared" si="0"/>
        <v>2.99</v>
      </c>
      <c r="O11" s="61"/>
      <c r="R11" s="78"/>
    </row>
    <row r="12" spans="1:22" x14ac:dyDescent="0.4">
      <c r="A12" s="79" t="s">
        <v>29</v>
      </c>
      <c r="B12" s="80">
        <f>I5</f>
        <v>50.839999999999996</v>
      </c>
      <c r="C12" s="61"/>
      <c r="D12" s="61"/>
      <c r="E12" s="61"/>
      <c r="F12" s="61"/>
      <c r="G12" s="61"/>
      <c r="H12" s="61"/>
      <c r="I12" s="61"/>
      <c r="J12" s="61"/>
      <c r="K12" s="85" t="s">
        <v>6</v>
      </c>
      <c r="L12" s="85">
        <v>1</v>
      </c>
      <c r="M12" s="86">
        <v>2.99</v>
      </c>
      <c r="N12" s="87">
        <f t="shared" si="0"/>
        <v>2.99</v>
      </c>
      <c r="O12" s="61"/>
      <c r="R12" s="78"/>
    </row>
    <row r="13" spans="1:22" x14ac:dyDescent="0.4">
      <c r="A13" s="79" t="s">
        <v>42</v>
      </c>
      <c r="B13" s="88">
        <v>50000</v>
      </c>
      <c r="C13" s="61"/>
      <c r="D13" s="61"/>
      <c r="E13" s="61"/>
      <c r="F13" s="61"/>
      <c r="G13" s="61"/>
      <c r="H13" s="61"/>
      <c r="I13" s="61"/>
      <c r="J13" s="61"/>
      <c r="K13" s="85" t="s">
        <v>6</v>
      </c>
      <c r="L13" s="85">
        <v>1</v>
      </c>
      <c r="M13" s="86">
        <v>2.99</v>
      </c>
      <c r="N13" s="87">
        <f t="shared" si="0"/>
        <v>2.99</v>
      </c>
      <c r="O13" s="61"/>
      <c r="R13" s="78"/>
    </row>
    <row r="14" spans="1:22" x14ac:dyDescent="0.4">
      <c r="A14" s="79" t="s">
        <v>30</v>
      </c>
      <c r="B14" s="80">
        <f>I8</f>
        <v>-50.839999999999996</v>
      </c>
      <c r="C14" s="61"/>
      <c r="D14" s="61"/>
      <c r="E14" s="61"/>
      <c r="F14" s="61"/>
      <c r="G14" s="61"/>
      <c r="H14" s="61"/>
      <c r="I14" s="61"/>
      <c r="J14" s="61"/>
      <c r="K14" s="85" t="s">
        <v>6</v>
      </c>
      <c r="L14" s="85">
        <v>1</v>
      </c>
      <c r="M14" s="86">
        <v>2.99</v>
      </c>
      <c r="N14" s="87">
        <f t="shared" si="0"/>
        <v>2.99</v>
      </c>
      <c r="O14" s="61"/>
    </row>
    <row r="15" spans="1:22" x14ac:dyDescent="0.4">
      <c r="A15" s="56"/>
      <c r="B15" s="56"/>
      <c r="C15" s="61"/>
      <c r="D15" s="61"/>
      <c r="E15" s="61"/>
      <c r="F15" s="61"/>
      <c r="G15" s="61"/>
      <c r="H15" s="61"/>
      <c r="I15" s="61"/>
      <c r="J15" s="61"/>
      <c r="K15" s="85" t="s">
        <v>6</v>
      </c>
      <c r="L15" s="85">
        <v>1</v>
      </c>
      <c r="M15" s="86">
        <v>2.99</v>
      </c>
      <c r="N15" s="87">
        <f t="shared" si="0"/>
        <v>2.99</v>
      </c>
      <c r="O15" s="61"/>
    </row>
    <row r="16" spans="1:22" x14ac:dyDescent="0.4">
      <c r="A16" s="56"/>
      <c r="B16" s="56"/>
      <c r="C16" s="61"/>
      <c r="D16" s="61"/>
      <c r="E16" s="61"/>
      <c r="F16" s="61"/>
      <c r="G16" s="61"/>
      <c r="H16" s="61"/>
      <c r="I16" s="61"/>
      <c r="J16" s="61"/>
      <c r="K16" s="85" t="s">
        <v>6</v>
      </c>
      <c r="L16" s="85"/>
      <c r="M16" s="86"/>
      <c r="N16" s="87">
        <f t="shared" si="0"/>
        <v>0</v>
      </c>
      <c r="O16" s="61"/>
    </row>
    <row r="17" spans="1:15" x14ac:dyDescent="0.4">
      <c r="A17" s="56"/>
      <c r="B17" s="56"/>
      <c r="C17" s="61"/>
      <c r="D17" s="61"/>
      <c r="E17" s="61"/>
      <c r="F17" s="61"/>
      <c r="G17" s="61"/>
      <c r="H17" s="61"/>
      <c r="I17" s="61"/>
      <c r="J17" s="61"/>
      <c r="K17" s="85" t="s">
        <v>6</v>
      </c>
      <c r="L17" s="85">
        <v>1</v>
      </c>
      <c r="M17" s="86">
        <v>2.99</v>
      </c>
      <c r="N17" s="87">
        <f t="shared" si="0"/>
        <v>2.99</v>
      </c>
      <c r="O17" s="61"/>
    </row>
    <row r="18" spans="1:15" x14ac:dyDescent="0.4">
      <c r="A18" s="56"/>
      <c r="B18" s="56"/>
      <c r="C18" s="61"/>
      <c r="D18" s="61"/>
      <c r="E18" s="61"/>
      <c r="F18" s="61"/>
      <c r="G18" s="61"/>
      <c r="H18" s="61"/>
      <c r="I18" s="61"/>
      <c r="J18" s="61"/>
      <c r="K18" s="85" t="s">
        <v>8</v>
      </c>
      <c r="L18" s="85">
        <v>1</v>
      </c>
      <c r="M18" s="86">
        <v>0.99</v>
      </c>
      <c r="N18" s="87">
        <f t="shared" si="0"/>
        <v>0.99</v>
      </c>
      <c r="O18" s="61"/>
    </row>
    <row r="19" spans="1:15" x14ac:dyDescent="0.4">
      <c r="A19" s="56"/>
      <c r="B19" s="56"/>
      <c r="C19" s="61"/>
      <c r="D19" s="61"/>
      <c r="E19" s="61"/>
      <c r="F19" s="61"/>
      <c r="G19" s="61"/>
      <c r="H19" s="61"/>
      <c r="I19" s="61"/>
      <c r="J19" s="61"/>
      <c r="K19" s="85" t="s">
        <v>16</v>
      </c>
      <c r="L19" s="85">
        <v>1</v>
      </c>
      <c r="M19" s="86">
        <v>1.99</v>
      </c>
      <c r="N19" s="87">
        <f t="shared" si="0"/>
        <v>1.99</v>
      </c>
      <c r="O19" s="61"/>
    </row>
    <row r="20" spans="1:15" x14ac:dyDescent="0.4">
      <c r="A20" s="56"/>
      <c r="B20" s="56"/>
      <c r="C20" s="61"/>
      <c r="D20" s="61"/>
      <c r="E20" s="61"/>
      <c r="F20" s="61"/>
      <c r="G20" s="61"/>
      <c r="H20" s="61"/>
      <c r="I20" s="61"/>
      <c r="J20" s="61"/>
      <c r="K20" s="85" t="s">
        <v>12</v>
      </c>
      <c r="L20" s="85">
        <v>1</v>
      </c>
      <c r="M20" s="86">
        <v>1.95</v>
      </c>
      <c r="N20" s="87">
        <f t="shared" si="0"/>
        <v>1.95</v>
      </c>
      <c r="O20" s="61"/>
    </row>
    <row r="21" spans="1:15" x14ac:dyDescent="0.4">
      <c r="A21" s="56"/>
      <c r="B21" s="56"/>
      <c r="C21" s="61"/>
      <c r="D21" s="61"/>
      <c r="E21" s="61"/>
      <c r="F21" s="61"/>
      <c r="G21" s="61"/>
      <c r="H21" s="61"/>
      <c r="I21" s="61"/>
      <c r="J21" s="61"/>
      <c r="K21" s="85" t="s">
        <v>14</v>
      </c>
      <c r="L21" s="85">
        <v>1</v>
      </c>
      <c r="M21" s="86">
        <v>3.49</v>
      </c>
      <c r="N21" s="87">
        <f t="shared" si="0"/>
        <v>3.49</v>
      </c>
      <c r="O21" s="61"/>
    </row>
    <row r="22" spans="1:15" x14ac:dyDescent="0.4">
      <c r="A22" s="56"/>
      <c r="B22" s="56"/>
      <c r="C22" s="61"/>
      <c r="D22" s="61"/>
      <c r="E22" s="61"/>
      <c r="F22" s="61"/>
      <c r="G22" s="61"/>
      <c r="H22" s="61"/>
      <c r="I22" s="61"/>
      <c r="J22" s="61"/>
      <c r="K22" s="85" t="s">
        <v>18</v>
      </c>
      <c r="L22" s="85">
        <v>1</v>
      </c>
      <c r="M22" s="86">
        <v>3.99</v>
      </c>
      <c r="N22" s="87">
        <f t="shared" si="0"/>
        <v>3.99</v>
      </c>
      <c r="O22" s="61"/>
    </row>
    <row r="23" spans="1:15" x14ac:dyDescent="0.4">
      <c r="A23" s="56"/>
      <c r="B23" s="56"/>
      <c r="C23" s="61"/>
      <c r="D23" s="61"/>
      <c r="E23" s="61"/>
      <c r="F23" s="61"/>
      <c r="G23" s="61"/>
      <c r="H23" s="61"/>
      <c r="I23" s="61"/>
      <c r="J23" s="61"/>
      <c r="K23" s="85" t="s">
        <v>20</v>
      </c>
      <c r="L23" s="85">
        <v>1</v>
      </c>
      <c r="M23" s="86">
        <v>4.95</v>
      </c>
      <c r="N23" s="87">
        <f t="shared" si="0"/>
        <v>4.95</v>
      </c>
      <c r="O23" s="61"/>
    </row>
    <row r="24" spans="1:15" x14ac:dyDescent="0.4">
      <c r="A24" s="56"/>
      <c r="B24" s="56"/>
      <c r="C24" s="61"/>
      <c r="D24" s="61"/>
      <c r="E24" s="61"/>
      <c r="F24" s="61"/>
      <c r="G24" s="61"/>
      <c r="H24" s="61"/>
      <c r="I24" s="61"/>
      <c r="J24" s="61"/>
      <c r="K24" s="85" t="s">
        <v>14</v>
      </c>
      <c r="L24" s="85">
        <v>1</v>
      </c>
      <c r="M24" s="86">
        <v>3.49</v>
      </c>
      <c r="N24" s="87">
        <f t="shared" si="0"/>
        <v>3.49</v>
      </c>
      <c r="O24" s="61"/>
    </row>
    <row r="25" spans="1:15" x14ac:dyDescent="0.4">
      <c r="A25" s="56"/>
      <c r="B25" s="56"/>
      <c r="C25" s="61"/>
      <c r="D25" s="61"/>
      <c r="E25" s="61"/>
      <c r="F25" s="61"/>
      <c r="G25" s="61"/>
      <c r="H25" s="61"/>
      <c r="I25" s="61"/>
      <c r="J25" s="61"/>
      <c r="K25" s="85" t="s">
        <v>18</v>
      </c>
      <c r="L25" s="85">
        <v>1</v>
      </c>
      <c r="M25" s="86">
        <v>3.99</v>
      </c>
      <c r="N25" s="87">
        <f t="shared" si="0"/>
        <v>3.99</v>
      </c>
      <c r="O25" s="61"/>
    </row>
    <row r="26" spans="1:15" x14ac:dyDescent="0.4">
      <c r="A26" s="56"/>
      <c r="B26" s="56"/>
      <c r="C26" s="61"/>
      <c r="D26" s="61"/>
      <c r="E26" s="61"/>
      <c r="F26" s="61"/>
      <c r="G26" s="61"/>
      <c r="H26" s="61"/>
      <c r="I26" s="61"/>
      <c r="J26" s="61"/>
      <c r="K26" s="85" t="s">
        <v>14</v>
      </c>
      <c r="L26" s="85">
        <v>1</v>
      </c>
      <c r="M26" s="86">
        <v>3.49</v>
      </c>
      <c r="N26" s="87">
        <f t="shared" si="0"/>
        <v>3.49</v>
      </c>
      <c r="O26" s="61"/>
    </row>
    <row r="27" spans="1:15" x14ac:dyDescent="0.4">
      <c r="A27" s="56"/>
      <c r="B27" s="56"/>
      <c r="C27" s="61"/>
      <c r="D27" s="61"/>
      <c r="E27" s="61"/>
      <c r="F27" s="61"/>
      <c r="G27" s="61"/>
      <c r="H27" s="61"/>
      <c r="I27" s="61"/>
      <c r="J27" s="61"/>
      <c r="K27" s="85" t="s">
        <v>6</v>
      </c>
      <c r="L27" s="85">
        <v>1</v>
      </c>
      <c r="M27" s="86">
        <v>2.99</v>
      </c>
      <c r="N27" s="87">
        <f t="shared" si="0"/>
        <v>2.99</v>
      </c>
      <c r="O27" s="61"/>
    </row>
    <row r="28" spans="1:15" x14ac:dyDescent="0.4">
      <c r="A28" s="56"/>
      <c r="B28" s="56"/>
      <c r="C28" s="61"/>
      <c r="D28" s="61"/>
      <c r="E28" s="61"/>
      <c r="F28" s="61"/>
      <c r="G28" s="61"/>
      <c r="H28" s="61"/>
      <c r="I28" s="61"/>
      <c r="J28" s="61"/>
      <c r="M28" s="89"/>
      <c r="O28" s="61"/>
    </row>
    <row r="29" spans="1:15" x14ac:dyDescent="0.4">
      <c r="A29" s="56"/>
      <c r="B29" s="56"/>
      <c r="C29" s="61"/>
      <c r="D29" s="61"/>
      <c r="E29" s="61"/>
      <c r="F29" s="61"/>
      <c r="G29" s="61"/>
      <c r="H29" s="61"/>
      <c r="I29" s="61"/>
      <c r="J29" s="61"/>
      <c r="M29" s="89"/>
      <c r="O29" s="61"/>
    </row>
    <row r="30" spans="1:15" x14ac:dyDescent="0.4">
      <c r="A30" s="56"/>
      <c r="B30" s="56"/>
      <c r="C30" s="61"/>
      <c r="D30" s="61"/>
      <c r="E30" s="61"/>
      <c r="F30" s="61"/>
      <c r="G30" s="61"/>
      <c r="H30" s="61"/>
      <c r="I30" s="61"/>
      <c r="J30" s="61"/>
      <c r="M30" s="89"/>
      <c r="O30" s="61"/>
    </row>
    <row r="31" spans="1:15" x14ac:dyDescent="0.4">
      <c r="A31" s="56"/>
      <c r="B31" s="56"/>
      <c r="C31" s="61"/>
      <c r="D31" s="61"/>
      <c r="E31" s="61"/>
      <c r="F31" s="61"/>
      <c r="G31" s="61"/>
      <c r="H31" s="61"/>
      <c r="I31" s="61"/>
      <c r="J31" s="61"/>
      <c r="M31" s="89"/>
      <c r="O31" s="61"/>
    </row>
    <row r="32" spans="1:15" x14ac:dyDescent="0.4">
      <c r="A32" s="56"/>
      <c r="B32" s="56"/>
      <c r="C32" s="61"/>
      <c r="D32" s="61"/>
      <c r="E32" s="61"/>
      <c r="F32" s="61"/>
      <c r="G32" s="61"/>
      <c r="H32" s="61"/>
      <c r="I32" s="61"/>
      <c r="J32" s="61"/>
      <c r="M32" s="89"/>
      <c r="O32" s="61"/>
    </row>
    <row r="33" spans="1:15" x14ac:dyDescent="0.4">
      <c r="A33" s="56"/>
      <c r="B33" s="56"/>
      <c r="C33" s="61"/>
      <c r="D33" s="61"/>
      <c r="E33" s="61"/>
      <c r="F33" s="61"/>
      <c r="G33" s="61"/>
      <c r="H33" s="61"/>
      <c r="I33" s="61"/>
      <c r="J33" s="61"/>
      <c r="M33" s="89"/>
      <c r="O33" s="61"/>
    </row>
    <row r="34" spans="1:15" x14ac:dyDescent="0.4">
      <c r="A34" s="56"/>
      <c r="B34" s="56"/>
      <c r="C34" s="61"/>
      <c r="D34" s="61"/>
      <c r="E34" s="61"/>
      <c r="F34" s="61"/>
      <c r="G34" s="61"/>
      <c r="H34" s="61"/>
      <c r="I34" s="61"/>
      <c r="J34" s="61"/>
      <c r="M34" s="89"/>
      <c r="O34" s="61"/>
    </row>
    <row r="35" spans="1:15" x14ac:dyDescent="0.4">
      <c r="A35" s="56"/>
      <c r="B35" s="56"/>
      <c r="C35" s="61"/>
      <c r="D35" s="61"/>
      <c r="E35" s="61"/>
      <c r="F35" s="61"/>
      <c r="G35" s="61"/>
      <c r="H35" s="61"/>
      <c r="I35" s="61"/>
      <c r="J35" s="61"/>
      <c r="M35" s="89"/>
      <c r="O35" s="61"/>
    </row>
    <row r="36" spans="1:15" x14ac:dyDescent="0.4">
      <c r="A36" s="56"/>
      <c r="B36" s="56"/>
      <c r="C36" s="61"/>
      <c r="D36" s="61"/>
      <c r="E36" s="61"/>
      <c r="F36" s="61"/>
      <c r="G36" s="61"/>
      <c r="H36" s="61"/>
      <c r="I36" s="61"/>
      <c r="J36" s="61"/>
      <c r="M36" s="89"/>
      <c r="O36" s="61"/>
    </row>
    <row r="37" spans="1:15" x14ac:dyDescent="0.4">
      <c r="A37" s="56"/>
      <c r="B37" s="56"/>
      <c r="C37" s="61"/>
      <c r="D37" s="61"/>
      <c r="E37" s="61"/>
      <c r="F37" s="61"/>
      <c r="G37" s="61"/>
      <c r="H37" s="61"/>
      <c r="I37" s="61"/>
      <c r="J37" s="61"/>
      <c r="M37" s="89"/>
      <c r="O37" s="61"/>
    </row>
    <row r="38" spans="1:15" x14ac:dyDescent="0.4">
      <c r="A38" s="56"/>
      <c r="B38" s="56"/>
      <c r="C38" s="61"/>
      <c r="D38" s="61"/>
      <c r="E38" s="61"/>
      <c r="F38" s="61"/>
      <c r="G38" s="61"/>
      <c r="H38" s="61"/>
      <c r="I38" s="61"/>
      <c r="J38" s="61"/>
      <c r="M38" s="89"/>
      <c r="O38" s="61"/>
    </row>
    <row r="39" spans="1:15" x14ac:dyDescent="0.4">
      <c r="A39" s="56"/>
      <c r="B39" s="56"/>
      <c r="C39" s="61"/>
      <c r="D39" s="61"/>
      <c r="E39" s="61"/>
      <c r="F39" s="61"/>
      <c r="G39" s="61"/>
      <c r="H39" s="61"/>
      <c r="I39" s="61"/>
      <c r="J39" s="61"/>
      <c r="M39" s="89"/>
      <c r="O39" s="61"/>
    </row>
    <row r="40" spans="1:15" x14ac:dyDescent="0.4">
      <c r="A40" s="56"/>
      <c r="B40" s="56"/>
      <c r="C40" s="61"/>
      <c r="D40" s="61"/>
      <c r="E40" s="61"/>
      <c r="F40" s="61"/>
      <c r="G40" s="61"/>
      <c r="H40" s="61"/>
      <c r="I40" s="61"/>
      <c r="J40" s="61"/>
      <c r="M40" s="89"/>
      <c r="O40" s="61"/>
    </row>
    <row r="41" spans="1:15" x14ac:dyDescent="0.4">
      <c r="M41" s="89"/>
    </row>
    <row r="42" spans="1:15" x14ac:dyDescent="0.4">
      <c r="M42" s="89"/>
    </row>
    <row r="43" spans="1:15" x14ac:dyDescent="0.4">
      <c r="M43" s="89"/>
    </row>
    <row r="44" spans="1:15" x14ac:dyDescent="0.4">
      <c r="M44" s="89"/>
    </row>
    <row r="45" spans="1:15" x14ac:dyDescent="0.4">
      <c r="M45" s="89"/>
    </row>
    <row r="46" spans="1:15" x14ac:dyDescent="0.4">
      <c r="M46" s="89"/>
    </row>
    <row r="47" spans="1:15" x14ac:dyDescent="0.4">
      <c r="M47" s="89"/>
    </row>
    <row r="48" spans="1:15" x14ac:dyDescent="0.4">
      <c r="M48" s="89"/>
    </row>
    <row r="49" spans="13:13" x14ac:dyDescent="0.4">
      <c r="M49" s="89"/>
    </row>
    <row r="50" spans="13:13" x14ac:dyDescent="0.4">
      <c r="M50" s="89"/>
    </row>
    <row r="51" spans="13:13" x14ac:dyDescent="0.4">
      <c r="M51" s="89"/>
    </row>
    <row r="52" spans="13:13" x14ac:dyDescent="0.4">
      <c r="M52" s="89"/>
    </row>
    <row r="53" spans="13:13" x14ac:dyDescent="0.4">
      <c r="M53" s="89"/>
    </row>
    <row r="54" spans="13:13" x14ac:dyDescent="0.4">
      <c r="M54" s="89"/>
    </row>
    <row r="55" spans="13:13" x14ac:dyDescent="0.4">
      <c r="M55" s="89"/>
    </row>
    <row r="56" spans="13:13" x14ac:dyDescent="0.4">
      <c r="M56" s="89"/>
    </row>
    <row r="57" spans="13:13" x14ac:dyDescent="0.4">
      <c r="M57" s="89"/>
    </row>
    <row r="58" spans="13:13" x14ac:dyDescent="0.4">
      <c r="M58" s="89"/>
    </row>
    <row r="59" spans="13:13" x14ac:dyDescent="0.4">
      <c r="M59" s="89"/>
    </row>
    <row r="60" spans="13:13" x14ac:dyDescent="0.4">
      <c r="M60" s="89"/>
    </row>
    <row r="61" spans="13:13" x14ac:dyDescent="0.4">
      <c r="M61" s="89"/>
    </row>
    <row r="62" spans="13:13" x14ac:dyDescent="0.4">
      <c r="M62" s="89"/>
    </row>
    <row r="63" spans="13:13" x14ac:dyDescent="0.4">
      <c r="M63" s="89"/>
    </row>
    <row r="64" spans="13:13" x14ac:dyDescent="0.4">
      <c r="M64" s="89"/>
    </row>
    <row r="65" spans="13:13" x14ac:dyDescent="0.4">
      <c r="M65" s="89"/>
    </row>
    <row r="66" spans="13:13" x14ac:dyDescent="0.4">
      <c r="M66" s="89"/>
    </row>
    <row r="67" spans="13:13" x14ac:dyDescent="0.4">
      <c r="M67" s="89"/>
    </row>
    <row r="68" spans="13:13" x14ac:dyDescent="0.4">
      <c r="M68" s="89"/>
    </row>
    <row r="69" spans="13:13" x14ac:dyDescent="0.4">
      <c r="M69" s="89"/>
    </row>
    <row r="70" spans="13:13" x14ac:dyDescent="0.4">
      <c r="M70" s="89"/>
    </row>
    <row r="71" spans="13:13" x14ac:dyDescent="0.4">
      <c r="M71" s="89"/>
    </row>
    <row r="72" spans="13:13" x14ac:dyDescent="0.4">
      <c r="M72" s="89"/>
    </row>
    <row r="73" spans="13:13" x14ac:dyDescent="0.4">
      <c r="M73" s="89"/>
    </row>
    <row r="74" spans="13:13" x14ac:dyDescent="0.4">
      <c r="M74" s="89"/>
    </row>
    <row r="75" spans="13:13" x14ac:dyDescent="0.4">
      <c r="M75" s="89"/>
    </row>
    <row r="76" spans="13:13" x14ac:dyDescent="0.4">
      <c r="M76" s="89"/>
    </row>
    <row r="77" spans="13:13" x14ac:dyDescent="0.4">
      <c r="M77" s="89"/>
    </row>
    <row r="78" spans="13:13" x14ac:dyDescent="0.4">
      <c r="M78" s="89"/>
    </row>
  </sheetData>
  <sheetProtection algorithmName="SHA-512" hashValue="i5JO9rDC+rJqW13DUH+ml5a5n7tz/SybeT0+MgJheMRz4s6Ok5z5sLAATbSqAEkwnP/bkvbO+7JfQWRTweMWqA==" saltValue="XfgHt1n/Wwmc5e7ZN+uEjg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100" t="s">
        <v>0</v>
      </c>
      <c r="B1" s="100"/>
      <c r="C1" s="100"/>
      <c r="D1" s="100"/>
      <c r="E1" s="100"/>
      <c r="H1" s="12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65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53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54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55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56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57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58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59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60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61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62</v>
      </c>
    </row>
    <row r="13" spans="1:8" x14ac:dyDescent="0.4">
      <c r="A13" s="34">
        <v>2001</v>
      </c>
      <c r="B13" s="35" t="s">
        <v>50</v>
      </c>
      <c r="C13" s="35" t="s">
        <v>51</v>
      </c>
      <c r="D13" s="36">
        <v>1.1100000000000001</v>
      </c>
      <c r="E13" s="37" t="s">
        <v>63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101" t="s">
        <v>47</v>
      </c>
      <c r="B1" s="102"/>
      <c r="C1" s="102"/>
      <c r="D1" s="102"/>
      <c r="E1" s="102"/>
      <c r="F1" s="102"/>
      <c r="G1" s="102"/>
      <c r="H1" s="44" t="s">
        <v>66</v>
      </c>
    </row>
    <row r="2" spans="1:14" s="3" customFormat="1" ht="35.799999999999997" customHeight="1" x14ac:dyDescent="0.4">
      <c r="A2" s="43" t="s">
        <v>48</v>
      </c>
      <c r="B2" s="43" t="s">
        <v>49</v>
      </c>
      <c r="C2" s="43" t="s">
        <v>37</v>
      </c>
      <c r="D2" s="43" t="s">
        <v>40</v>
      </c>
      <c r="E2" s="43" t="s">
        <v>41</v>
      </c>
      <c r="F2" s="43" t="s">
        <v>4</v>
      </c>
      <c r="G2" s="43" t="s">
        <v>28</v>
      </c>
      <c r="K2" s="10"/>
    </row>
    <row r="3" spans="1:14" s="8" customFormat="1" x14ac:dyDescent="0.4">
      <c r="A3" s="47">
        <v>1000</v>
      </c>
      <c r="B3" s="48">
        <v>45453.639351851853</v>
      </c>
      <c r="C3" s="47" t="s">
        <v>38</v>
      </c>
      <c r="D3" s="47"/>
      <c r="E3" s="47"/>
      <c r="F3" s="49"/>
      <c r="G3" s="50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7">
        <v>1001</v>
      </c>
      <c r="B8" s="48">
        <v>45453.645960648151</v>
      </c>
      <c r="C8" s="47" t="s">
        <v>38</v>
      </c>
      <c r="D8" s="47"/>
      <c r="E8" s="47"/>
      <c r="F8" s="49"/>
      <c r="G8" s="50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51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51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51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51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51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51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51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51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7">
        <v>1002</v>
      </c>
      <c r="B17" s="48">
        <v>45453.692511574074</v>
      </c>
      <c r="C17" s="47" t="s">
        <v>38</v>
      </c>
      <c r="D17" s="47"/>
      <c r="E17" s="47"/>
      <c r="F17" s="49"/>
      <c r="G17" s="50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51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51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51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51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51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51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51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A25" s="47">
        <v>1003</v>
      </c>
      <c r="B25" s="48">
        <v>45453.938483796293</v>
      </c>
      <c r="C25" s="47" t="s">
        <v>38</v>
      </c>
      <c r="D25" s="47"/>
      <c r="E25" s="47"/>
      <c r="F25" s="49"/>
      <c r="G25" s="50">
        <v>27.32</v>
      </c>
      <c r="H25" s="15"/>
      <c r="I25" s="13"/>
      <c r="J25" s="13"/>
      <c r="K25" s="15"/>
      <c r="L25" s="13"/>
      <c r="M25" s="13"/>
      <c r="N25" s="15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51">
        <v>2.99</v>
      </c>
      <c r="H26" s="15"/>
      <c r="I26" s="13"/>
      <c r="J26" s="13"/>
      <c r="K26" s="15"/>
      <c r="L26" s="13"/>
      <c r="M26" s="13"/>
      <c r="N26" s="15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51">
        <v>0.99</v>
      </c>
      <c r="H27" s="15"/>
      <c r="I27" s="13"/>
      <c r="J27" s="13"/>
      <c r="K27" s="15"/>
      <c r="L27" s="13"/>
      <c r="M27" s="13"/>
      <c r="N27" s="15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2">
        <v>4.95</v>
      </c>
      <c r="H28" s="15"/>
      <c r="I28" s="13"/>
      <c r="J28" s="13"/>
      <c r="K28" s="15"/>
      <c r="L28" s="13"/>
      <c r="M28" s="13"/>
      <c r="N28" s="15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51">
        <v>2.99</v>
      </c>
      <c r="H29" s="15"/>
      <c r="I29" s="13"/>
      <c r="J29" s="13"/>
      <c r="K29" s="15"/>
      <c r="L29" s="13"/>
      <c r="M29" s="13"/>
      <c r="N29" s="15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2">
        <v>0.99</v>
      </c>
      <c r="H30" s="15"/>
      <c r="I30" s="13"/>
      <c r="J30" s="13"/>
      <c r="K30" s="15"/>
      <c r="L30" s="13"/>
      <c r="M30" s="13"/>
      <c r="N30" s="15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51">
        <v>1.99</v>
      </c>
      <c r="H31" s="15"/>
      <c r="I31" s="13"/>
      <c r="J31" s="13"/>
      <c r="K31" s="15"/>
      <c r="L31" s="13"/>
      <c r="M31" s="13"/>
      <c r="N31" s="15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51">
        <v>3.49</v>
      </c>
      <c r="H32" s="15"/>
      <c r="I32" s="13"/>
      <c r="J32" s="13"/>
      <c r="K32" s="15"/>
      <c r="L32" s="13"/>
      <c r="M32" s="13"/>
      <c r="N32" s="15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51">
        <v>2.99</v>
      </c>
      <c r="H33" s="15"/>
      <c r="I33" s="13"/>
      <c r="J33" s="13"/>
      <c r="K33" s="15"/>
      <c r="L33" s="13"/>
      <c r="M33" s="13"/>
      <c r="N33" s="15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51">
        <v>0.99</v>
      </c>
      <c r="H34" s="15"/>
      <c r="I34" s="13"/>
      <c r="J34" s="13"/>
      <c r="K34" s="15"/>
      <c r="L34" s="13"/>
      <c r="M34" s="13"/>
      <c r="N34" s="15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51">
        <v>1.99</v>
      </c>
      <c r="H35" s="15"/>
      <c r="I35" s="13"/>
      <c r="J35" s="13"/>
      <c r="K35" s="15"/>
      <c r="L35" s="13"/>
      <c r="M35" s="13"/>
      <c r="N35" s="15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51">
        <v>4.45</v>
      </c>
      <c r="H36" s="15"/>
      <c r="I36" s="13"/>
      <c r="J36" s="13"/>
      <c r="K36" s="15"/>
      <c r="L36" s="13"/>
      <c r="M36" s="13"/>
      <c r="N36" s="15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51">
        <v>4.45</v>
      </c>
      <c r="H37" s="15"/>
      <c r="I37" s="13"/>
      <c r="J37" s="13"/>
      <c r="K37" s="15"/>
      <c r="L37" s="13"/>
      <c r="M37" s="13"/>
      <c r="N37" s="15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2">
        <v>1.1100000000000001</v>
      </c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2024-06-11T06:36:31Z</dcterms:modified>
  <cp:version>1.0</cp:version>
</cp:coreProperties>
</file>