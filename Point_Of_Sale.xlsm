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40F26156-63E1-4A94-BD86-1CD7D7CBE5F4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POS!$K$1:$N$26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N15" i="1"/>
  <c r="N14" i="1"/>
  <c r="N13" i="1"/>
  <c r="N12" i="1"/>
  <c r="N11" i="1"/>
  <c r="N10" i="1"/>
  <c r="B5" i="1"/>
  <c r="I3" i="1" l="1"/>
  <c r="D4" i="1"/>
  <c r="M6" i="1"/>
  <c r="B7" i="1"/>
  <c r="S3" i="1" l="1"/>
  <c r="S4" i="1" l="1"/>
  <c r="I5" i="1"/>
  <c r="I8" i="1" l="1"/>
  <c r="S7" i="1" s="1"/>
  <c r="S5" i="1"/>
</calcChain>
</file>

<file path=xl/sharedStrings.xml><?xml version="1.0" encoding="utf-8"?>
<sst xmlns="http://schemas.openxmlformats.org/spreadsheetml/2006/main" count="175" uniqueCount="73">
  <si>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</si>
  <si>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</si>
  <si>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</si>
  <si>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</si>
  <si>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</si>
  <si>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</si>
  <si>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</si>
  <si>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</si>
  <si>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</si>
  <si>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</si>
  <si>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</si>
  <si>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</si>
  <si>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</si>
  <si>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</si>
  <si>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</si>
  <si>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</si>
  <si>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</si>
  <si>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</si>
  <si>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</si>
  <si>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</si>
  <si>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</si>
  <si>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</si>
  <si>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</si>
  <si>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</si>
  <si>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</si>
  <si>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</si>
  <si>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</si>
  <si>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</si>
  <si>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</si>
  <si>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</si>
  <si>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</si>
  <si>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</si>
  <si>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</si>
  <si>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</si>
  <si>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</si>
  <si>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</si>
  <si>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</si>
  <si>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</si>
  <si>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</si>
  <si>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</si>
  <si>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</si>
  <si>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</si>
  <si>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</si>
  <si>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</si>
  <si>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</si>
  <si>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</si>
  <si>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</si>
  <si>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</si>
  <si>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</si>
  <si>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</si>
  <si>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</si>
  <si>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</si>
  <si>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</si>
  <si>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</si>
  <si>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</si>
  <si>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</si>
  <si>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</si>
  <si>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</si>
  <si>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</si>
  <si>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</si>
  <si>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</si>
  <si>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</si>
  <si>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</si>
  <si>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</si>
  <si>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</si>
  <si>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</si>
  <si>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</si>
  <si>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</si>
  <si>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</si>
  <si>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</si>
  <si>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</si>
  <si>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</si>
  <si>
    <t>@ 7.98%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</si>
</sst>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0.00000"/>
    <numFmt numFmtId="166" formatCode="_(&quot;$&quot;* #,##0.0000_);_(&quot;$&quot;* \(#,##0.00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2" fontId="0" fillId="7" borderId="3" xfId="0" applyNumberFormat="1" applyFill="1" applyBorder="1" applyAlignment="1" applyProtection="1">
      <alignment horizontal="right"/>
      <protection locked="0"/>
    </xf>
    <xf numFmtId="164" fontId="0" fillId="7" borderId="3" xfId="1" applyNumberFormat="1" applyFont="1" applyFill="1" applyBorder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Font="1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44" fontId="0" fillId="0" borderId="0" xfId="1" applyFont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left"/>
      <protection locked="0"/>
    </xf>
    <xf numFmtId="0" fontId="0" fillId="7" borderId="0" xfId="0" applyFill="1" applyProtection="1">
      <protection locked="0"/>
    </xf>
    <xf numFmtId="0" fontId="0" fillId="7" borderId="0" xfId="0" applyFill="1" applyAlignment="1" applyProtection="1">
      <alignment horizontal="right"/>
      <protection locked="0"/>
    </xf>
    <xf numFmtId="0" fontId="0" fillId="7" borderId="3" xfId="0" applyFill="1" applyBorder="1" applyProtection="1">
      <protection locked="0"/>
    </xf>
    <xf numFmtId="7" fontId="0" fillId="0" borderId="0" xfId="1" applyNumberFormat="1" applyFont="1" applyFill="1" applyAlignment="1" applyProtection="1">
      <alignment horizontal="right"/>
      <protection locked="0"/>
    </xf>
    <xf numFmtId="0" fontId="0" fillId="10" borderId="8" xfId="0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Alignment="1" applyProtection="1">
      <alignment horizontal="center"/>
      <protection locked="0"/>
    </xf>
    <xf numFmtId="44" fontId="0" fillId="0" borderId="0" xfId="1" applyFont="1" applyFill="1" applyProtection="1">
      <protection locked="0"/>
    </xf>
    <xf numFmtId="7" fontId="0" fillId="0" borderId="0" xfId="0" applyNumberFormat="1" applyFill="1" applyAlignment="1" applyProtection="1">
      <alignment horizontal="right"/>
      <protection locked="0"/>
    </xf>
    <xf numFmtId="2" fontId="0" fillId="0" borderId="0" xfId="0" applyNumberFormat="1" applyFill="1" applyProtection="1">
      <protection locked="0"/>
    </xf>
    <xf numFmtId="165" fontId="0" fillId="11" borderId="3" xfId="1" applyNumberFormat="1" applyFont="1" applyFill="1" applyBorder="1" applyProtection="1">
      <protection locked="0"/>
    </xf>
    <xf numFmtId="166" fontId="0" fillId="6" borderId="3" xfId="1" applyNumberFormat="1" applyFont="1" applyFill="1" applyBorder="1" applyProtection="1">
      <protection locked="0"/>
    </xf>
    <xf numFmtId="44" fontId="0" fillId="6" borderId="9" xfId="1" applyFon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7" borderId="0" xfId="0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22" fontId="0" fillId="7" borderId="0" xfId="0" applyNumberFormat="1" applyFill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Orang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8</xdr:col>
      <xdr:colOff>695153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8</xdr:col>
      <xdr:colOff>704680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20</xdr:row>
      <xdr:rowOff>76200</xdr:rowOff>
    </xdr:from>
    <xdr:to>
      <xdr:col>8</xdr:col>
      <xdr:colOff>704680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2307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17</xdr:row>
      <xdr:rowOff>45420</xdr:rowOff>
    </xdr:from>
    <xdr:to>
      <xdr:col>8</xdr:col>
      <xdr:colOff>239836</xdr:colOff>
      <xdr:row>20</xdr:row>
      <xdr:rowOff>22560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423079" y="3544232"/>
          <a:ext cx="1144369" cy="5356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13</xdr:col>
      <xdr:colOff>941778</xdr:colOff>
      <xdr:row>25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167363" y="4243473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1034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8</xdr:col>
      <xdr:colOff>305712</xdr:colOff>
      <xdr:row>17</xdr:row>
      <xdr:rowOff>45420</xdr:rowOff>
    </xdr:from>
    <xdr:to>
      <xdr:col>8</xdr:col>
      <xdr:colOff>941777</xdr:colOff>
      <xdr:row>20</xdr:row>
      <xdr:rowOff>22560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5633324" y="3544232"/>
          <a:ext cx="636065" cy="535636"/>
          <a:chOff x="4450628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450628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78135" y="4942513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EnterNumberBtn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32</xdr:row>
      <xdr:rowOff>26465</xdr:rowOff>
    </xdr:from>
    <xdr:to>
      <xdr:col>14</xdr:col>
      <xdr:colOff>3810000</xdr:colOff>
      <xdr:row>35</xdr:row>
      <xdr:rowOff>3657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Unlock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69" name="ItemPic">
          <a:extLst>
            <a:ext uri="{FF2B5EF4-FFF2-40B4-BE49-F238E27FC236}">
              <a16:creationId xmlns:a16="http://schemas.microsoft.com/office/drawing/2014/main" id="{5717A6A5-8045-4516-AD03-A5D6713B2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7358" y="1264829"/>
          <a:ext cx="571500" cy="571500"/>
        </a:xfrm>
        <a:prstGeom prst="rect">
          <a:avLst/>
        </a:prstGeom>
      </xdr:spPr>
    </xdr:pic>
    <xdr:clientData/>
  </xdr:twoCellAnchor>
  <xdr:twoCellAnchor>
    <xdr:from>
      <xdr:col>14</xdr:col>
      <xdr:colOff>217193</xdr:colOff>
      <xdr:row>28</xdr:row>
      <xdr:rowOff>74831</xdr:rowOff>
    </xdr:from>
    <xdr:to>
      <xdr:col>14</xdr:col>
      <xdr:colOff>3820039</xdr:colOff>
      <xdr:row>31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62"/>
  <sheetViews>
    <sheetView showGridLines="0" tabSelected="1" zoomScaleNormal="100" workbookViewId="0">
      <selection activeCell="J5" sqref="J5"/>
    </sheetView>
  </sheetViews>
  <sheetFormatPr defaultRowHeight="14.7" x14ac:dyDescent="0.4"/>
  <cols>
    <col min="1" max="1" width="11" style="13" bestFit="1" customWidth="1"/>
    <col min="2" max="2" width="9.23046875" style="13"/>
    <col min="3" max="3" width="6.84375" style="13" customWidth="1"/>
    <col min="4" max="4" width="10.84375" style="13" bestFit="1" customWidth="1"/>
    <col min="5" max="8" width="9.23046875" style="13"/>
    <col min="9" max="9" width="16.61328125" style="13" customWidth="1"/>
    <col min="10" max="10" width="9.23046875" style="13"/>
    <col min="11" max="11" width="10.69140625" style="13" customWidth="1"/>
    <col min="12" max="12" width="8.07421875" style="13" customWidth="1"/>
    <col min="13" max="13" width="9.23046875" style="13"/>
    <col min="14" max="14" width="14.921875" style="13" customWidth="1"/>
    <col min="15" max="15" width="56.3046875" style="13" customWidth="1"/>
    <col min="16" max="18" width="9.23046875" style="13"/>
    <col min="19" max="19" width="15.15234375" style="13" customWidth="1"/>
    <col min="20" max="22" width="9.23046875" style="13"/>
    <col min="23" max="23" width="16.07421875" style="13" customWidth="1"/>
    <col min="24" max="16384" width="9.23046875" style="13"/>
  </cols>
  <sheetData>
    <row r="1" spans="1:22" ht="41" x14ac:dyDescent="1.05">
      <c r="A1" s="10"/>
      <c r="B1" s="10"/>
      <c r="C1" s="38" t="s">
        <v>26</v>
      </c>
      <c r="D1" s="38"/>
      <c r="E1" s="38"/>
      <c r="F1" s="38"/>
      <c r="G1" s="38"/>
      <c r="H1" s="38"/>
      <c r="I1" s="38"/>
      <c r="J1" s="38"/>
      <c r="K1" s="44" t="s">
        <v>37</v>
      </c>
      <c r="L1" s="44"/>
      <c r="M1" s="44"/>
      <c r="N1" s="44"/>
      <c r="O1" s="11" t="s">
        <v>71</v>
      </c>
      <c r="P1" s="12"/>
      <c r="Q1" s="12"/>
      <c r="R1" s="12"/>
      <c r="S1" s="12"/>
      <c r="T1" s="12"/>
      <c r="U1" s="12"/>
      <c r="V1" s="12"/>
    </row>
    <row r="2" spans="1:22" ht="14.7" customHeight="1" x14ac:dyDescent="0.4">
      <c r="A2" s="10"/>
      <c r="B2" s="10"/>
      <c r="C2" s="14"/>
      <c r="D2" s="14"/>
      <c r="E2" s="14"/>
      <c r="F2" s="14"/>
      <c r="G2" s="14"/>
      <c r="H2" s="14"/>
      <c r="I2" s="14"/>
      <c r="J2" s="14"/>
      <c r="K2" s="45" t="s">
        <v>38</v>
      </c>
      <c r="L2" s="45"/>
      <c r="M2" s="45"/>
      <c r="N2" s="45"/>
      <c r="O2" s="14"/>
    </row>
    <row r="3" spans="1:22" ht="14.7" customHeight="1" x14ac:dyDescent="0.4">
      <c r="A3" s="10"/>
      <c r="B3" s="10"/>
      <c r="C3" s="15"/>
      <c r="D3" s="16" t="s">
        <v>69</v>
      </c>
      <c r="E3" s="39" t="s">
        <v>14</v>
      </c>
      <c r="F3" s="40"/>
      <c r="G3" s="15"/>
      <c r="H3" s="17" t="s">
        <v>27</v>
      </c>
      <c r="I3" s="18">
        <f>SUMIF(K10:K999,"&lt;&gt;",N10:N999)</f>
        <v>26.85</v>
      </c>
      <c r="J3" s="15"/>
      <c r="K3" s="45" t="s">
        <v>39</v>
      </c>
      <c r="L3" s="45"/>
      <c r="M3" s="45"/>
      <c r="N3" s="45"/>
      <c r="O3" s="15"/>
      <c r="R3" s="19" t="s">
        <v>27</v>
      </c>
      <c r="S3" s="20">
        <f>I3</f>
        <v>26.85</v>
      </c>
    </row>
    <row r="4" spans="1:22" ht="14.7" customHeight="1" x14ac:dyDescent="0.4">
      <c r="A4" s="21" t="s">
        <v>49</v>
      </c>
      <c r="B4" s="22" t="b">
        <v>0</v>
      </c>
      <c r="C4" s="15"/>
      <c r="D4" s="41" t="str">
        <f ca="1">IFERROR(INDEX(Item_Desc,MATCH(E3,Item_Name,0),1),"")</f>
        <v>Navals from Santa Paula, CA</v>
      </c>
      <c r="E4" s="39"/>
      <c r="F4" s="40"/>
      <c r="G4" s="15"/>
      <c r="H4" s="17" t="s">
        <v>28</v>
      </c>
      <c r="I4" s="35">
        <f>ROUND(I3 * 0.0798, 2)</f>
        <v>2.14</v>
      </c>
      <c r="J4" s="36" t="s">
        <v>72</v>
      </c>
      <c r="K4" s="45" t="s">
        <v>40</v>
      </c>
      <c r="L4" s="45"/>
      <c r="M4" s="45"/>
      <c r="N4" s="45"/>
      <c r="O4" s="15"/>
      <c r="R4" s="19" t="s">
        <v>28</v>
      </c>
      <c r="S4" s="20">
        <f>I4</f>
        <v>2.14</v>
      </c>
    </row>
    <row r="5" spans="1:22" ht="14.7" customHeight="1" x14ac:dyDescent="0.4">
      <c r="A5" s="21" t="s">
        <v>50</v>
      </c>
      <c r="B5" s="22" t="str">
        <f ca="1">IFERROR(MATCH(E10,Item_ID,0)+2,"")</f>
        <v/>
      </c>
      <c r="C5" s="15"/>
      <c r="D5" s="15"/>
      <c r="E5" s="15"/>
      <c r="F5" s="15"/>
      <c r="G5" s="15"/>
      <c r="H5" s="17" t="s">
        <v>30</v>
      </c>
      <c r="I5" s="34">
        <f>SUM(I3:I4)</f>
        <v>28.990000000000002</v>
      </c>
      <c r="J5" s="15"/>
      <c r="K5" s="23"/>
      <c r="L5" s="24" t="s">
        <v>41</v>
      </c>
      <c r="M5" s="37">
        <v>1034</v>
      </c>
      <c r="N5" s="37"/>
      <c r="O5" s="15"/>
      <c r="R5" s="19" t="s">
        <v>30</v>
      </c>
      <c r="S5" s="20">
        <f>I5</f>
        <v>28.990000000000002</v>
      </c>
    </row>
    <row r="6" spans="1:22" ht="14.7" customHeight="1" x14ac:dyDescent="0.4">
      <c r="A6" s="21" t="s">
        <v>51</v>
      </c>
      <c r="B6" s="22"/>
      <c r="C6" s="15"/>
      <c r="D6" s="15"/>
      <c r="E6" s="17" t="s">
        <v>34</v>
      </c>
      <c r="F6" s="7">
        <v>3.49</v>
      </c>
      <c r="G6" s="15"/>
      <c r="H6" s="17" t="s">
        <v>31</v>
      </c>
      <c r="I6" s="25" t="s">
        <v>70</v>
      </c>
      <c r="J6" s="15"/>
      <c r="K6" s="23"/>
      <c r="L6" s="24" t="s">
        <v>42</v>
      </c>
      <c r="M6" s="46">
        <f ca="1">NOW()</f>
        <v>45449.002826157404</v>
      </c>
      <c r="N6" s="37"/>
      <c r="O6" s="15"/>
      <c r="R6" s="19" t="s">
        <v>48</v>
      </c>
      <c r="S6" s="26">
        <v>500</v>
      </c>
    </row>
    <row r="7" spans="1:22" ht="14.7" customHeight="1" x14ac:dyDescent="0.4">
      <c r="A7" s="21" t="s">
        <v>52</v>
      </c>
      <c r="B7" s="22">
        <f ca="1">IFERROR(MAX(RecNumb)+1,1000)</f>
        <v>1034</v>
      </c>
      <c r="C7" s="15"/>
      <c r="D7" s="15"/>
      <c r="E7" s="15"/>
      <c r="F7" s="15"/>
      <c r="G7" s="15"/>
      <c r="H7" s="17" t="s">
        <v>32</v>
      </c>
      <c r="I7" s="9">
        <v>500</v>
      </c>
      <c r="J7" s="15"/>
      <c r="K7" s="23"/>
      <c r="L7" s="24" t="s">
        <v>45</v>
      </c>
      <c r="M7" s="37" t="s">
        <v>44</v>
      </c>
      <c r="N7" s="37"/>
      <c r="O7" s="15"/>
      <c r="R7" s="19" t="s">
        <v>33</v>
      </c>
      <c r="S7" s="20">
        <f>I8</f>
        <v>471.01</v>
      </c>
    </row>
    <row r="8" spans="1:22" ht="14.7" customHeight="1" x14ac:dyDescent="0.4">
      <c r="A8" s="10"/>
      <c r="B8" s="10"/>
      <c r="C8" s="15"/>
      <c r="D8" s="15"/>
      <c r="E8" s="17" t="s">
        <v>35</v>
      </c>
      <c r="F8" s="8">
        <v>1</v>
      </c>
      <c r="G8" s="15"/>
      <c r="H8" s="17" t="s">
        <v>33</v>
      </c>
      <c r="I8" s="33">
        <f>I7-I5</f>
        <v>471.01</v>
      </c>
      <c r="J8" s="15"/>
      <c r="K8" s="23"/>
      <c r="L8" s="23"/>
      <c r="M8" s="23"/>
      <c r="N8" s="23"/>
      <c r="O8" s="15"/>
    </row>
    <row r="9" spans="1:22" x14ac:dyDescent="0.4">
      <c r="A9" s="10"/>
      <c r="B9" s="10"/>
      <c r="C9" s="15"/>
      <c r="D9" s="15"/>
      <c r="E9" s="15"/>
      <c r="F9" s="15"/>
      <c r="G9" s="15"/>
      <c r="H9" s="15"/>
      <c r="I9" s="15"/>
      <c r="J9" s="15"/>
      <c r="K9" s="27" t="s">
        <v>46</v>
      </c>
      <c r="L9" s="27" t="s">
        <v>47</v>
      </c>
      <c r="M9" s="27" t="s">
        <v>4</v>
      </c>
      <c r="N9" s="27" t="s">
        <v>29</v>
      </c>
      <c r="O9" s="15"/>
      <c r="R9" s="19"/>
    </row>
    <row r="10" spans="1:22" x14ac:dyDescent="0.4">
      <c r="A10" s="10"/>
      <c r="B10" s="10"/>
      <c r="C10" s="15"/>
      <c r="D10" s="17" t="s">
        <v>36</v>
      </c>
      <c r="E10" s="42"/>
      <c r="F10" s="43"/>
      <c r="G10" s="15"/>
      <c r="H10" s="15"/>
      <c r="I10" s="15"/>
      <c r="J10" s="15"/>
      <c r="K10" s="28" t="s">
        <v>6</v>
      </c>
      <c r="L10" s="29">
        <v>2</v>
      </c>
      <c r="M10" s="26">
        <v>2.99</v>
      </c>
      <c r="N10" s="30">
        <f t="shared" ref="N10:N15" si="0">L10*M10</f>
        <v>5.98</v>
      </c>
      <c r="O10" s="15"/>
      <c r="R10" s="19"/>
    </row>
    <row r="11" spans="1:22" x14ac:dyDescent="0.4">
      <c r="A11" s="10"/>
      <c r="B11" s="10"/>
      <c r="C11" s="15"/>
      <c r="D11" s="15"/>
      <c r="E11" s="15"/>
      <c r="F11" s="15"/>
      <c r="G11" s="15"/>
      <c r="H11" s="15"/>
      <c r="I11" s="15"/>
      <c r="J11" s="15"/>
      <c r="K11" s="28" t="s">
        <v>20</v>
      </c>
      <c r="L11" s="29">
        <v>1</v>
      </c>
      <c r="M11" s="26">
        <v>4.95</v>
      </c>
      <c r="N11" s="30">
        <f t="shared" si="0"/>
        <v>4.95</v>
      </c>
      <c r="O11" s="15"/>
      <c r="R11" s="19"/>
    </row>
    <row r="12" spans="1:22" x14ac:dyDescent="0.4">
      <c r="A12" s="10"/>
      <c r="B12" s="10"/>
      <c r="C12" s="15"/>
      <c r="D12" s="15"/>
      <c r="E12" s="15"/>
      <c r="F12" s="15"/>
      <c r="G12" s="15"/>
      <c r="H12" s="15"/>
      <c r="I12" s="15"/>
      <c r="J12" s="15"/>
      <c r="K12" s="28" t="s">
        <v>22</v>
      </c>
      <c r="L12" s="29">
        <v>1</v>
      </c>
      <c r="M12" s="26">
        <v>4.95</v>
      </c>
      <c r="N12" s="30">
        <f t="shared" si="0"/>
        <v>4.95</v>
      </c>
      <c r="O12" s="15"/>
      <c r="R12" s="19"/>
    </row>
    <row r="13" spans="1:22" x14ac:dyDescent="0.4">
      <c r="A13" s="10"/>
      <c r="B13" s="10"/>
      <c r="C13" s="15"/>
      <c r="D13" s="15"/>
      <c r="E13" s="15"/>
      <c r="F13" s="15"/>
      <c r="G13" s="15"/>
      <c r="H13" s="15"/>
      <c r="I13" s="15"/>
      <c r="J13" s="15"/>
      <c r="K13" s="28" t="s">
        <v>18</v>
      </c>
      <c r="L13" s="29">
        <v>1</v>
      </c>
      <c r="M13" s="26">
        <v>3.99</v>
      </c>
      <c r="N13" s="30">
        <f t="shared" si="0"/>
        <v>3.99</v>
      </c>
      <c r="O13" s="15"/>
      <c r="R13" s="19"/>
    </row>
    <row r="14" spans="1:22" x14ac:dyDescent="0.4">
      <c r="A14" s="10"/>
      <c r="B14" s="10"/>
      <c r="C14" s="15"/>
      <c r="D14" s="15"/>
      <c r="E14" s="15"/>
      <c r="F14" s="15"/>
      <c r="G14" s="15"/>
      <c r="H14" s="15"/>
      <c r="I14" s="15"/>
      <c r="J14" s="15"/>
      <c r="K14" s="28" t="s">
        <v>14</v>
      </c>
      <c r="L14" s="29">
        <v>1</v>
      </c>
      <c r="M14" s="26">
        <v>3.49</v>
      </c>
      <c r="N14" s="30">
        <f t="shared" si="0"/>
        <v>3.49</v>
      </c>
      <c r="O14" s="15"/>
    </row>
    <row r="15" spans="1:22" x14ac:dyDescent="0.4">
      <c r="A15" s="10"/>
      <c r="B15" s="10"/>
      <c r="C15" s="15"/>
      <c r="D15" s="15"/>
      <c r="E15" s="15">
        <v>1</v>
      </c>
      <c r="F15" s="15"/>
      <c r="G15" s="15"/>
      <c r="H15" s="15"/>
      <c r="I15" s="15"/>
      <c r="J15" s="15"/>
      <c r="K15" s="28" t="s">
        <v>14</v>
      </c>
      <c r="L15" s="29">
        <v>1</v>
      </c>
      <c r="M15" s="26">
        <v>3.49</v>
      </c>
      <c r="N15" s="30">
        <f t="shared" si="0"/>
        <v>3.49</v>
      </c>
      <c r="O15" s="15"/>
    </row>
    <row r="16" spans="1:22" x14ac:dyDescent="0.4">
      <c r="A16" s="10"/>
      <c r="B16" s="10"/>
      <c r="C16" s="15"/>
      <c r="D16" s="15"/>
      <c r="E16" s="15"/>
      <c r="F16" s="15"/>
      <c r="G16" s="15"/>
      <c r="H16" s="15"/>
      <c r="I16" s="15"/>
      <c r="J16" s="15"/>
      <c r="K16" s="28"/>
      <c r="L16" s="29"/>
      <c r="M16" s="26" t="s">
        <v>27</v>
      </c>
      <c r="N16" s="30">
        <v>26.85</v>
      </c>
      <c r="O16" s="15"/>
    </row>
    <row r="17" spans="1:15" x14ac:dyDescent="0.4">
      <c r="A17" s="10"/>
      <c r="B17" s="10"/>
      <c r="C17" s="15"/>
      <c r="D17" s="15"/>
      <c r="E17" s="15"/>
      <c r="F17" s="15"/>
      <c r="G17" s="15"/>
      <c r="H17" s="15"/>
      <c r="I17" s="15"/>
      <c r="J17" s="15"/>
      <c r="K17" s="28"/>
      <c r="L17" s="29"/>
      <c r="M17" s="26" t="s">
        <v>28</v>
      </c>
      <c r="N17" s="30">
        <v>2.69</v>
      </c>
      <c r="O17" s="15"/>
    </row>
    <row r="18" spans="1:15" x14ac:dyDescent="0.4">
      <c r="A18" s="10"/>
      <c r="B18" s="10"/>
      <c r="C18" s="15"/>
      <c r="D18" s="15"/>
      <c r="E18" s="15"/>
      <c r="F18" s="15"/>
      <c r="G18" s="15"/>
      <c r="H18" s="15"/>
      <c r="I18" s="15"/>
      <c r="J18" s="15"/>
      <c r="K18" s="28"/>
      <c r="L18" s="29"/>
      <c r="M18" s="26" t="s">
        <v>30</v>
      </c>
      <c r="N18" s="30">
        <v>29.540000000000003</v>
      </c>
      <c r="O18" s="15"/>
    </row>
    <row r="19" spans="1:15" x14ac:dyDescent="0.4">
      <c r="A19" s="10"/>
      <c r="B19" s="10"/>
      <c r="C19" s="15"/>
      <c r="D19" s="15"/>
      <c r="E19" s="15"/>
      <c r="F19" s="15"/>
      <c r="G19" s="15"/>
      <c r="H19" s="15"/>
      <c r="I19" s="15"/>
      <c r="J19" s="15"/>
      <c r="K19" s="28"/>
      <c r="L19" s="29"/>
      <c r="M19" s="26" t="s">
        <v>48</v>
      </c>
      <c r="N19" s="30">
        <v>500</v>
      </c>
      <c r="O19" s="15"/>
    </row>
    <row r="20" spans="1:15" x14ac:dyDescent="0.4">
      <c r="A20" s="10"/>
      <c r="B20" s="10"/>
      <c r="C20" s="15"/>
      <c r="D20" s="15"/>
      <c r="E20" s="15"/>
      <c r="F20" s="15"/>
      <c r="G20" s="15"/>
      <c r="H20" s="15"/>
      <c r="I20" s="15"/>
      <c r="J20" s="15"/>
      <c r="K20" s="28"/>
      <c r="L20" s="29"/>
      <c r="M20" s="26" t="s">
        <v>33</v>
      </c>
      <c r="N20" s="30">
        <v>470.46</v>
      </c>
      <c r="O20" s="15"/>
    </row>
    <row r="21" spans="1:15" x14ac:dyDescent="0.4">
      <c r="A21" s="10"/>
      <c r="B21" s="10"/>
      <c r="C21" s="15"/>
      <c r="D21" s="15"/>
      <c r="E21" s="15"/>
      <c r="F21" s="15"/>
      <c r="G21" s="15"/>
      <c r="H21" s="15"/>
      <c r="I21" s="15"/>
      <c r="J21" s="15"/>
      <c r="K21" s="28"/>
      <c r="L21" s="29"/>
      <c r="M21" s="26"/>
      <c r="N21" s="30"/>
      <c r="O21" s="15"/>
    </row>
    <row r="22" spans="1:15" x14ac:dyDescent="0.4">
      <c r="A22" s="10"/>
      <c r="B22" s="10"/>
      <c r="C22" s="15"/>
      <c r="D22" s="15"/>
      <c r="E22" s="15"/>
      <c r="F22" s="15"/>
      <c r="G22" s="15"/>
      <c r="H22" s="15"/>
      <c r="I22" s="15"/>
      <c r="J22" s="15"/>
      <c r="K22" s="28"/>
      <c r="L22" s="29"/>
      <c r="M22" s="26"/>
      <c r="N22" s="30"/>
      <c r="O22" s="15"/>
    </row>
    <row r="23" spans="1:15" x14ac:dyDescent="0.4">
      <c r="A23" s="10"/>
      <c r="B23" s="10"/>
      <c r="C23" s="15"/>
      <c r="D23" s="15"/>
      <c r="E23" s="15"/>
      <c r="F23" s="15"/>
      <c r="G23" s="15"/>
      <c r="H23" s="15"/>
      <c r="I23" s="15"/>
      <c r="J23" s="15"/>
      <c r="K23" s="28"/>
      <c r="L23" s="29"/>
      <c r="M23" s="26"/>
      <c r="N23" s="30"/>
      <c r="O23" s="15"/>
    </row>
    <row r="24" spans="1:15" x14ac:dyDescent="0.4">
      <c r="A24" s="10"/>
      <c r="B24" s="10"/>
      <c r="C24" s="15"/>
      <c r="D24" s="15"/>
      <c r="E24" s="15"/>
      <c r="F24" s="15"/>
      <c r="G24" s="15"/>
      <c r="H24" s="15"/>
      <c r="I24" s="15"/>
      <c r="J24" s="15"/>
      <c r="K24" s="28"/>
      <c r="L24" s="29"/>
      <c r="M24" s="26"/>
      <c r="N24" s="30"/>
      <c r="O24" s="15"/>
    </row>
    <row r="25" spans="1:15" x14ac:dyDescent="0.4">
      <c r="A25" s="10"/>
      <c r="B25" s="10"/>
      <c r="C25" s="15"/>
      <c r="D25" s="15"/>
      <c r="E25" s="15"/>
      <c r="F25" s="15"/>
      <c r="G25" s="15"/>
      <c r="H25" s="15"/>
      <c r="I25" s="15"/>
      <c r="J25" s="15"/>
      <c r="K25" s="28"/>
      <c r="L25" s="29"/>
      <c r="M25" s="26"/>
      <c r="N25" s="30"/>
      <c r="O25" s="15"/>
    </row>
    <row r="26" spans="1:15" x14ac:dyDescent="0.4">
      <c r="A26" s="10"/>
      <c r="B26" s="10"/>
      <c r="C26" s="15"/>
      <c r="D26" s="15"/>
      <c r="E26" s="15"/>
      <c r="F26" s="15"/>
      <c r="G26" s="15"/>
      <c r="H26" s="15"/>
      <c r="I26" s="15"/>
      <c r="J26" s="15"/>
      <c r="K26" s="28"/>
      <c r="L26" s="28"/>
      <c r="M26" s="31"/>
      <c r="N26" s="30"/>
      <c r="O26" s="15"/>
    </row>
    <row r="27" spans="1:15" x14ac:dyDescent="0.4">
      <c r="A27" s="10"/>
      <c r="B27" s="10"/>
      <c r="C27" s="15"/>
      <c r="D27" s="15"/>
      <c r="E27" s="15"/>
      <c r="F27" s="15"/>
      <c r="G27" s="15"/>
      <c r="H27" s="15"/>
      <c r="I27" s="15"/>
      <c r="J27" s="15"/>
      <c r="K27" s="28"/>
      <c r="L27" s="28"/>
      <c r="M27" s="31"/>
      <c r="N27" s="30"/>
      <c r="O27" s="15"/>
    </row>
    <row r="28" spans="1:15" x14ac:dyDescent="0.4">
      <c r="A28" s="10"/>
      <c r="B28" s="10"/>
      <c r="C28" s="15"/>
      <c r="D28" s="15"/>
      <c r="E28" s="15"/>
      <c r="F28" s="15"/>
      <c r="G28" s="15"/>
      <c r="H28" s="15"/>
      <c r="I28" s="15"/>
      <c r="J28" s="15"/>
      <c r="K28" s="28"/>
      <c r="L28" s="28"/>
      <c r="M28" s="31"/>
      <c r="N28" s="30"/>
      <c r="O28" s="15"/>
    </row>
    <row r="29" spans="1:15" x14ac:dyDescent="0.4">
      <c r="A29" s="10"/>
      <c r="B29" s="10"/>
      <c r="C29" s="15"/>
      <c r="D29" s="15"/>
      <c r="E29" s="15"/>
      <c r="F29" s="15"/>
      <c r="G29" s="15"/>
      <c r="H29" s="15"/>
      <c r="I29" s="15"/>
      <c r="J29" s="15"/>
      <c r="K29" s="28"/>
      <c r="L29" s="28"/>
      <c r="M29" s="31"/>
      <c r="N29" s="30"/>
      <c r="O29" s="15"/>
    </row>
    <row r="30" spans="1:15" x14ac:dyDescent="0.4">
      <c r="A30" s="10"/>
      <c r="B30" s="10"/>
      <c r="C30" s="15"/>
      <c r="D30" s="15"/>
      <c r="E30" s="15"/>
      <c r="F30" s="15"/>
      <c r="G30" s="15"/>
      <c r="H30" s="15"/>
      <c r="I30" s="15"/>
      <c r="J30" s="15"/>
      <c r="K30" s="28"/>
      <c r="L30" s="28"/>
      <c r="M30" s="31"/>
      <c r="N30" s="30"/>
      <c r="O30" s="15"/>
    </row>
    <row r="31" spans="1:15" x14ac:dyDescent="0.4">
      <c r="A31" s="10"/>
      <c r="B31" s="10"/>
      <c r="C31" s="15"/>
      <c r="D31" s="15"/>
      <c r="E31" s="15"/>
      <c r="F31" s="15"/>
      <c r="G31" s="15"/>
      <c r="H31" s="15"/>
      <c r="I31" s="15"/>
      <c r="J31" s="15"/>
      <c r="K31" s="28"/>
      <c r="L31" s="28"/>
      <c r="M31" s="31"/>
      <c r="N31" s="30"/>
      <c r="O31" s="15"/>
    </row>
    <row r="32" spans="1:15" x14ac:dyDescent="0.4">
      <c r="A32" s="10"/>
      <c r="B32" s="10"/>
      <c r="C32" s="15"/>
      <c r="D32" s="15"/>
      <c r="E32" s="15"/>
      <c r="F32" s="15"/>
      <c r="G32" s="15"/>
      <c r="H32" s="15"/>
      <c r="I32" s="15"/>
      <c r="J32" s="15"/>
      <c r="K32" s="28"/>
      <c r="L32" s="28"/>
      <c r="M32" s="31"/>
      <c r="N32" s="30"/>
      <c r="O32" s="15"/>
    </row>
    <row r="33" spans="1:15" x14ac:dyDescent="0.4">
      <c r="A33" s="10"/>
      <c r="B33" s="10"/>
      <c r="C33" s="15"/>
      <c r="D33" s="15"/>
      <c r="E33" s="15"/>
      <c r="F33" s="15"/>
      <c r="G33" s="15"/>
      <c r="H33" s="15"/>
      <c r="I33" s="15"/>
      <c r="J33" s="15"/>
      <c r="K33" s="28"/>
      <c r="L33" s="28"/>
      <c r="M33" s="31"/>
      <c r="N33" s="30"/>
      <c r="O33" s="15"/>
    </row>
    <row r="34" spans="1:15" x14ac:dyDescent="0.4">
      <c r="A34" s="10"/>
      <c r="B34" s="10"/>
      <c r="C34" s="15"/>
      <c r="D34" s="15"/>
      <c r="E34" s="15"/>
      <c r="F34" s="15"/>
      <c r="G34" s="15"/>
      <c r="H34" s="15"/>
      <c r="I34" s="15"/>
      <c r="J34" s="15"/>
      <c r="K34" s="28"/>
      <c r="L34" s="28"/>
      <c r="M34" s="31"/>
      <c r="N34" s="30"/>
      <c r="O34" s="15"/>
    </row>
    <row r="35" spans="1:15" x14ac:dyDescent="0.4">
      <c r="A35" s="10"/>
      <c r="B35" s="10"/>
      <c r="C35" s="15"/>
      <c r="D35" s="15"/>
      <c r="E35" s="15"/>
      <c r="F35" s="15"/>
      <c r="G35" s="15"/>
      <c r="H35" s="15"/>
      <c r="I35" s="15"/>
      <c r="J35" s="15"/>
      <c r="K35" s="28"/>
      <c r="L35" s="28"/>
      <c r="M35" s="31"/>
      <c r="N35" s="30"/>
      <c r="O35" s="15"/>
    </row>
    <row r="36" spans="1:15" x14ac:dyDescent="0.4">
      <c r="A36" s="10"/>
      <c r="B36" s="10"/>
      <c r="C36" s="15"/>
      <c r="D36" s="15"/>
      <c r="E36" s="15"/>
      <c r="F36" s="15"/>
      <c r="G36" s="15"/>
      <c r="H36" s="15"/>
      <c r="I36" s="15"/>
      <c r="J36" s="15"/>
      <c r="K36" s="28"/>
      <c r="L36" s="28"/>
      <c r="M36" s="31"/>
      <c r="N36" s="30"/>
      <c r="O36" s="15"/>
    </row>
    <row r="37" spans="1:15" x14ac:dyDescent="0.4">
      <c r="K37" s="28"/>
      <c r="L37" s="29"/>
      <c r="M37" s="26"/>
      <c r="N37" s="30"/>
    </row>
    <row r="38" spans="1:15" x14ac:dyDescent="0.4">
      <c r="K38" s="28"/>
      <c r="L38" s="29"/>
      <c r="M38" s="26"/>
      <c r="N38" s="30"/>
    </row>
    <row r="39" spans="1:15" x14ac:dyDescent="0.4">
      <c r="K39" s="28"/>
      <c r="L39" s="32"/>
      <c r="M39" s="26"/>
      <c r="N39" s="30"/>
    </row>
    <row r="40" spans="1:15" x14ac:dyDescent="0.4">
      <c r="K40" s="28"/>
      <c r="L40" s="32"/>
      <c r="M40" s="26"/>
      <c r="N40" s="30"/>
    </row>
    <row r="41" spans="1:15" x14ac:dyDescent="0.4">
      <c r="K41" s="28"/>
      <c r="L41" s="32"/>
      <c r="M41" s="26"/>
      <c r="N41" s="30"/>
    </row>
    <row r="42" spans="1:15" x14ac:dyDescent="0.4">
      <c r="K42" s="28"/>
      <c r="L42" s="28"/>
      <c r="M42" s="26"/>
      <c r="N42" s="30"/>
    </row>
    <row r="43" spans="1:15" x14ac:dyDescent="0.4">
      <c r="K43" s="28"/>
      <c r="L43" s="28"/>
      <c r="M43" s="26"/>
      <c r="N43" s="30"/>
    </row>
    <row r="44" spans="1:15" x14ac:dyDescent="0.4">
      <c r="K44" s="28"/>
      <c r="L44" s="28"/>
      <c r="M44" s="31"/>
      <c r="N44" s="28"/>
    </row>
    <row r="45" spans="1:15" x14ac:dyDescent="0.4">
      <c r="K45" s="28"/>
      <c r="L45" s="28"/>
      <c r="M45" s="31"/>
      <c r="N45" s="28"/>
    </row>
    <row r="46" spans="1:15" x14ac:dyDescent="0.4">
      <c r="K46" s="28"/>
      <c r="L46" s="28"/>
      <c r="M46" s="31"/>
      <c r="N46" s="28"/>
    </row>
    <row r="47" spans="1:15" x14ac:dyDescent="0.4">
      <c r="M47" s="19"/>
    </row>
    <row r="48" spans="1:15" x14ac:dyDescent="0.4">
      <c r="M48" s="19"/>
    </row>
    <row r="49" spans="13:13" x14ac:dyDescent="0.4">
      <c r="M49" s="19"/>
    </row>
    <row r="50" spans="13:13" x14ac:dyDescent="0.4">
      <c r="M50" s="19"/>
    </row>
    <row r="51" spans="13:13" x14ac:dyDescent="0.4">
      <c r="M51" s="19"/>
    </row>
    <row r="52" spans="13:13" x14ac:dyDescent="0.4">
      <c r="M52" s="19"/>
    </row>
    <row r="53" spans="13:13" x14ac:dyDescent="0.4">
      <c r="M53" s="19"/>
    </row>
    <row r="54" spans="13:13" x14ac:dyDescent="0.4">
      <c r="M54" s="19"/>
    </row>
    <row r="55" spans="13:13" x14ac:dyDescent="0.4">
      <c r="M55" s="19"/>
    </row>
    <row r="56" spans="13:13" x14ac:dyDescent="0.4">
      <c r="M56" s="19"/>
    </row>
    <row r="57" spans="13:13" x14ac:dyDescent="0.4">
      <c r="M57" s="19"/>
    </row>
    <row r="58" spans="13:13" x14ac:dyDescent="0.4">
      <c r="M58" s="19"/>
    </row>
    <row r="59" spans="13:13" x14ac:dyDescent="0.4">
      <c r="M59" s="19"/>
    </row>
    <row r="60" spans="13:13" x14ac:dyDescent="0.4">
      <c r="M60" s="19"/>
    </row>
    <row r="61" spans="13:13" x14ac:dyDescent="0.4">
      <c r="M61" s="19"/>
    </row>
    <row r="62" spans="13:13" x14ac:dyDescent="0.4">
      <c r="M62" s="19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47" t="s">
        <v>0</v>
      </c>
      <c r="B1" s="47"/>
      <c r="C1" s="47"/>
      <c r="D1" s="47"/>
      <c r="E1" s="47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58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59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60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61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62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63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64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65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66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67</v>
      </c>
    </row>
    <row r="13" spans="1:5" x14ac:dyDescent="0.4">
      <c r="A13" s="1">
        <v>2001</v>
      </c>
      <c r="B13" t="s">
        <v>56</v>
      </c>
      <c r="C13" t="s">
        <v>57</v>
      </c>
      <c r="D13" s="6">
        <v>1.1100000000000001</v>
      </c>
      <c r="E13" t="s">
        <v>68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5"/>
  <sheetViews>
    <sheetView workbookViewId="0">
      <selection activeCell="G39" sqref="A3:G39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48" t="s">
        <v>53</v>
      </c>
      <c r="B1" s="48"/>
      <c r="C1" s="48"/>
      <c r="D1" s="48"/>
      <c r="E1" s="48"/>
      <c r="F1" s="48"/>
      <c r="G1" s="48"/>
    </row>
    <row r="2" spans="1:7" x14ac:dyDescent="0.4">
      <c r="A2" s="3" t="s">
        <v>54</v>
      </c>
      <c r="B2" s="3" t="s">
        <v>55</v>
      </c>
      <c r="C2" s="3" t="s">
        <v>43</v>
      </c>
      <c r="D2" s="3" t="s">
        <v>46</v>
      </c>
      <c r="E2" s="3" t="s">
        <v>47</v>
      </c>
      <c r="F2" s="3" t="s">
        <v>4</v>
      </c>
      <c r="G2" s="3" t="s">
        <v>29</v>
      </c>
    </row>
    <row r="3" spans="1:7" x14ac:dyDescent="0.4">
      <c r="A3">
        <v>1032</v>
      </c>
      <c r="B3" s="4">
        <v>45448.887627314813</v>
      </c>
      <c r="C3" t="s">
        <v>44</v>
      </c>
      <c r="D3" t="s">
        <v>14</v>
      </c>
      <c r="E3">
        <v>1</v>
      </c>
      <c r="F3" s="5">
        <v>3.49</v>
      </c>
      <c r="G3" s="5">
        <v>3.49</v>
      </c>
    </row>
    <row r="4" spans="1:7" x14ac:dyDescent="0.4">
      <c r="A4">
        <v>1032</v>
      </c>
      <c r="B4" s="4">
        <v>45448.887627314813</v>
      </c>
      <c r="C4" t="s">
        <v>44</v>
      </c>
      <c r="D4" t="s">
        <v>14</v>
      </c>
      <c r="E4">
        <v>1</v>
      </c>
      <c r="F4" s="5">
        <v>3.49</v>
      </c>
      <c r="G4" s="5">
        <v>3.49</v>
      </c>
    </row>
    <row r="5" spans="1:7" x14ac:dyDescent="0.4">
      <c r="A5">
        <v>1032</v>
      </c>
      <c r="B5" s="4">
        <v>45448.887627314813</v>
      </c>
      <c r="C5" t="s">
        <v>44</v>
      </c>
      <c r="D5" t="s">
        <v>14</v>
      </c>
      <c r="E5">
        <v>1</v>
      </c>
      <c r="F5" s="5">
        <v>3.49</v>
      </c>
      <c r="G5" s="5">
        <v>3.49</v>
      </c>
    </row>
    <row r="6" spans="1:7" x14ac:dyDescent="0.4">
      <c r="A6">
        <v>1032</v>
      </c>
      <c r="B6" s="4">
        <v>45448.887627314813</v>
      </c>
      <c r="C6" t="s">
        <v>44</v>
      </c>
      <c r="D6" t="s">
        <v>14</v>
      </c>
      <c r="E6">
        <v>1</v>
      </c>
      <c r="F6" s="5">
        <v>3.49</v>
      </c>
      <c r="G6" s="5">
        <v>3.49</v>
      </c>
    </row>
    <row r="7" spans="1:7" x14ac:dyDescent="0.4">
      <c r="A7">
        <v>1032</v>
      </c>
      <c r="B7" s="4">
        <v>45448.887627314813</v>
      </c>
      <c r="C7" t="s">
        <v>44</v>
      </c>
      <c r="D7" t="s">
        <v>14</v>
      </c>
      <c r="E7">
        <v>1</v>
      </c>
      <c r="F7" s="5">
        <v>3.49</v>
      </c>
      <c r="G7" s="5">
        <v>3.49</v>
      </c>
    </row>
    <row r="8" spans="1:7" x14ac:dyDescent="0.4">
      <c r="A8">
        <v>1032</v>
      </c>
      <c r="B8" s="4">
        <v>45448.887627314813</v>
      </c>
      <c r="C8" t="s">
        <v>44</v>
      </c>
      <c r="D8" t="s">
        <v>14</v>
      </c>
      <c r="E8">
        <v>1</v>
      </c>
      <c r="F8" s="5">
        <v>3.49</v>
      </c>
      <c r="G8" s="5">
        <v>3.49</v>
      </c>
    </row>
    <row r="9" spans="1:7" x14ac:dyDescent="0.4">
      <c r="A9">
        <v>1032</v>
      </c>
      <c r="B9" s="4">
        <v>45448.887627314813</v>
      </c>
      <c r="C9" t="s">
        <v>44</v>
      </c>
      <c r="D9" t="s">
        <v>14</v>
      </c>
      <c r="E9">
        <v>1</v>
      </c>
      <c r="F9" s="5">
        <v>5</v>
      </c>
      <c r="G9" s="5">
        <v>5</v>
      </c>
    </row>
    <row r="10" spans="1:7" x14ac:dyDescent="0.4">
      <c r="A10">
        <v>1032</v>
      </c>
      <c r="B10" s="4">
        <v>45448.887627314813</v>
      </c>
      <c r="C10" t="s">
        <v>44</v>
      </c>
      <c r="D10" t="s">
        <v>20</v>
      </c>
      <c r="E10">
        <v>1</v>
      </c>
      <c r="F10" s="5">
        <v>4.95</v>
      </c>
      <c r="G10" s="5">
        <v>4.95</v>
      </c>
    </row>
    <row r="11" spans="1:7" x14ac:dyDescent="0.4">
      <c r="A11">
        <v>1032</v>
      </c>
      <c r="B11" s="4">
        <v>45448.887627314813</v>
      </c>
      <c r="C11" t="s">
        <v>44</v>
      </c>
      <c r="D11" t="s">
        <v>22</v>
      </c>
      <c r="E11">
        <v>1</v>
      </c>
      <c r="F11" s="5">
        <v>4.95</v>
      </c>
      <c r="G11" s="5">
        <v>4.95</v>
      </c>
    </row>
    <row r="12" spans="1:7" x14ac:dyDescent="0.4">
      <c r="A12">
        <v>1032</v>
      </c>
      <c r="B12" s="4">
        <v>45448.887627314813</v>
      </c>
      <c r="C12" t="s">
        <v>44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1032</v>
      </c>
      <c r="B13" s="4">
        <v>45448.887627314813</v>
      </c>
      <c r="C13" t="s">
        <v>44</v>
      </c>
      <c r="D13" t="s">
        <v>18</v>
      </c>
      <c r="E13">
        <v>1</v>
      </c>
      <c r="F13" s="5">
        <v>3.99</v>
      </c>
      <c r="G13" s="5">
        <v>3.99</v>
      </c>
    </row>
    <row r="14" spans="1:7" x14ac:dyDescent="0.4">
      <c r="A14">
        <v>1032</v>
      </c>
      <c r="B14" s="4">
        <v>45448.887627314813</v>
      </c>
      <c r="C14" t="s">
        <v>44</v>
      </c>
      <c r="D14" t="s">
        <v>22</v>
      </c>
      <c r="E14">
        <v>1</v>
      </c>
      <c r="F14" s="5">
        <v>4.95</v>
      </c>
      <c r="G14" s="5">
        <v>4.95</v>
      </c>
    </row>
    <row r="15" spans="1:7" x14ac:dyDescent="0.4">
      <c r="A15">
        <v>1032</v>
      </c>
      <c r="B15" s="4">
        <v>45448.887627314813</v>
      </c>
      <c r="C15" t="s">
        <v>44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1032</v>
      </c>
      <c r="B16" s="4">
        <v>45448.887627314813</v>
      </c>
      <c r="C16" t="s">
        <v>44</v>
      </c>
      <c r="D16" t="s">
        <v>22</v>
      </c>
      <c r="E16">
        <v>1</v>
      </c>
      <c r="F16" s="5">
        <v>4.95</v>
      </c>
      <c r="G16" s="5">
        <v>4.95</v>
      </c>
    </row>
    <row r="17" spans="1:7" x14ac:dyDescent="0.4">
      <c r="A17">
        <v>1032</v>
      </c>
      <c r="B17" s="4">
        <v>45448.887627314813</v>
      </c>
      <c r="C17" t="s">
        <v>44</v>
      </c>
      <c r="D17" t="s">
        <v>6</v>
      </c>
      <c r="E17">
        <v>1</v>
      </c>
      <c r="F17" s="5">
        <v>2.99</v>
      </c>
      <c r="G17" s="5">
        <v>2.99</v>
      </c>
    </row>
    <row r="18" spans="1:7" x14ac:dyDescent="0.4">
      <c r="A18">
        <v>1032</v>
      </c>
      <c r="B18" s="4">
        <v>45448.887627314813</v>
      </c>
      <c r="C18" t="s">
        <v>44</v>
      </c>
      <c r="D18" t="s">
        <v>22</v>
      </c>
      <c r="E18">
        <v>1</v>
      </c>
      <c r="F18" s="5">
        <v>4.95</v>
      </c>
      <c r="G18" s="5">
        <v>4.95</v>
      </c>
    </row>
    <row r="19" spans="1:7" x14ac:dyDescent="0.4">
      <c r="A19">
        <v>1032</v>
      </c>
      <c r="B19" s="4">
        <v>45448.887627314813</v>
      </c>
      <c r="C19" t="s">
        <v>44</v>
      </c>
      <c r="D19" t="s">
        <v>20</v>
      </c>
      <c r="E19">
        <v>1</v>
      </c>
      <c r="F19" s="5">
        <v>4.95</v>
      </c>
      <c r="G19" s="5">
        <v>4.95</v>
      </c>
    </row>
    <row r="20" spans="1:7" x14ac:dyDescent="0.4">
      <c r="A20">
        <v>1032</v>
      </c>
      <c r="B20" s="4">
        <v>45448.887627314813</v>
      </c>
      <c r="C20" t="s">
        <v>44</v>
      </c>
      <c r="D20" t="s">
        <v>22</v>
      </c>
      <c r="E20">
        <v>1</v>
      </c>
      <c r="F20" s="5">
        <v>4.95</v>
      </c>
      <c r="G20" s="5">
        <v>4.95</v>
      </c>
    </row>
    <row r="21" spans="1:7" x14ac:dyDescent="0.4">
      <c r="A21">
        <v>1032</v>
      </c>
      <c r="B21" s="4">
        <v>45448.887627314813</v>
      </c>
      <c r="C21" t="s">
        <v>44</v>
      </c>
      <c r="D21" t="s">
        <v>10</v>
      </c>
      <c r="E21">
        <v>1</v>
      </c>
      <c r="F21" s="5">
        <v>5.99</v>
      </c>
      <c r="G21" s="5">
        <v>5.99</v>
      </c>
    </row>
    <row r="22" spans="1:7" x14ac:dyDescent="0.4">
      <c r="A22">
        <v>1032</v>
      </c>
      <c r="B22" s="4">
        <v>45448.887627314813</v>
      </c>
      <c r="C22" t="s">
        <v>44</v>
      </c>
      <c r="D22" t="s">
        <v>10</v>
      </c>
      <c r="E22">
        <v>1</v>
      </c>
      <c r="F22" s="5">
        <v>5.99</v>
      </c>
      <c r="G22" s="5">
        <v>5.99</v>
      </c>
    </row>
    <row r="23" spans="1:7" x14ac:dyDescent="0.4">
      <c r="A23">
        <v>1032</v>
      </c>
      <c r="B23" s="4">
        <v>45448.887627314813</v>
      </c>
      <c r="C23" t="s">
        <v>44</v>
      </c>
      <c r="D23" t="s">
        <v>8</v>
      </c>
      <c r="E23">
        <v>1</v>
      </c>
      <c r="F23" s="5">
        <v>0.99</v>
      </c>
      <c r="G23" s="5">
        <v>0.99</v>
      </c>
    </row>
    <row r="24" spans="1:7" x14ac:dyDescent="0.4">
      <c r="A24">
        <v>1032</v>
      </c>
      <c r="B24" s="4">
        <v>45448.887627314813</v>
      </c>
      <c r="C24" t="s">
        <v>44</v>
      </c>
      <c r="D24" t="s">
        <v>14</v>
      </c>
      <c r="E24">
        <v>1</v>
      </c>
      <c r="F24" s="5">
        <v>3.49</v>
      </c>
      <c r="G24" s="5">
        <v>3.49</v>
      </c>
    </row>
    <row r="25" spans="1:7" x14ac:dyDescent="0.4">
      <c r="A25">
        <v>1032</v>
      </c>
      <c r="B25" s="4">
        <v>45448.887627314813</v>
      </c>
      <c r="C25" t="s">
        <v>44</v>
      </c>
      <c r="D25" t="s">
        <v>6</v>
      </c>
      <c r="E25">
        <v>1</v>
      </c>
      <c r="F25" s="5">
        <v>2.99</v>
      </c>
      <c r="G25" s="5">
        <v>2.99</v>
      </c>
    </row>
    <row r="26" spans="1:7" x14ac:dyDescent="0.4">
      <c r="A26">
        <v>1032</v>
      </c>
      <c r="B26" s="4">
        <v>45448.887627314813</v>
      </c>
      <c r="C26" t="s">
        <v>44</v>
      </c>
      <c r="D26" t="s">
        <v>10</v>
      </c>
      <c r="E26">
        <v>1</v>
      </c>
      <c r="F26" s="5">
        <v>5.99</v>
      </c>
      <c r="G26" s="5">
        <v>5.99</v>
      </c>
    </row>
    <row r="27" spans="1:7" x14ac:dyDescent="0.4">
      <c r="A27">
        <v>1032</v>
      </c>
      <c r="B27" s="4">
        <v>45448.887627314813</v>
      </c>
      <c r="C27" t="s">
        <v>44</v>
      </c>
      <c r="D27" t="s">
        <v>20</v>
      </c>
      <c r="E27">
        <v>1</v>
      </c>
      <c r="F27" s="5">
        <v>4.95</v>
      </c>
      <c r="G27" s="5">
        <v>4.95</v>
      </c>
    </row>
    <row r="28" spans="1:7" x14ac:dyDescent="0.4">
      <c r="A28">
        <v>1032</v>
      </c>
      <c r="B28" s="4">
        <v>45448.887627314813</v>
      </c>
      <c r="C28" t="s">
        <v>44</v>
      </c>
      <c r="D28" t="s">
        <v>20</v>
      </c>
      <c r="E28">
        <v>1</v>
      </c>
      <c r="F28" s="5">
        <v>4.95</v>
      </c>
      <c r="G28" s="5">
        <v>4.95</v>
      </c>
    </row>
    <row r="29" spans="1:7" x14ac:dyDescent="0.4">
      <c r="A29">
        <v>1032</v>
      </c>
      <c r="B29" s="4">
        <v>45448.887627314813</v>
      </c>
      <c r="C29" t="s">
        <v>44</v>
      </c>
      <c r="D29" t="s">
        <v>14</v>
      </c>
      <c r="E29">
        <v>1</v>
      </c>
      <c r="F29" s="5">
        <v>3.49</v>
      </c>
      <c r="G29" s="5">
        <v>3.49</v>
      </c>
    </row>
    <row r="30" spans="1:7" x14ac:dyDescent="0.4">
      <c r="A30">
        <v>1032</v>
      </c>
      <c r="B30" s="4">
        <v>45448.887627314813</v>
      </c>
      <c r="C30" t="s">
        <v>44</v>
      </c>
      <c r="D30" t="s">
        <v>22</v>
      </c>
      <c r="E30">
        <v>1</v>
      </c>
      <c r="F30" s="5">
        <v>4.95</v>
      </c>
      <c r="G30" s="5">
        <v>4.95</v>
      </c>
    </row>
    <row r="31" spans="1:7" x14ac:dyDescent="0.4">
      <c r="A31">
        <v>1032</v>
      </c>
      <c r="B31" s="4">
        <v>45448.887627314813</v>
      </c>
      <c r="C31" t="s">
        <v>44</v>
      </c>
      <c r="D31" t="s">
        <v>6</v>
      </c>
      <c r="E31">
        <v>1</v>
      </c>
      <c r="F31" s="5">
        <v>2.99</v>
      </c>
      <c r="G31" s="5">
        <v>2.99</v>
      </c>
    </row>
    <row r="32" spans="1:7" x14ac:dyDescent="0.4">
      <c r="A32">
        <v>1032</v>
      </c>
      <c r="B32" s="4">
        <v>45448.887627314813</v>
      </c>
      <c r="C32" t="s">
        <v>44</v>
      </c>
      <c r="D32" t="s">
        <v>14</v>
      </c>
      <c r="E32">
        <v>1</v>
      </c>
      <c r="F32" s="5">
        <v>3.49</v>
      </c>
      <c r="G32" s="5">
        <v>3.49</v>
      </c>
    </row>
    <row r="33" spans="1:7" x14ac:dyDescent="0.4">
      <c r="A33">
        <v>1032</v>
      </c>
      <c r="B33" s="4">
        <v>45448.887627314813</v>
      </c>
      <c r="C33" t="s">
        <v>44</v>
      </c>
      <c r="D33" t="s">
        <v>20</v>
      </c>
      <c r="E33">
        <v>1</v>
      </c>
      <c r="F33" s="5">
        <v>4.95</v>
      </c>
      <c r="G33" s="5">
        <v>4.95</v>
      </c>
    </row>
    <row r="34" spans="1:7" x14ac:dyDescent="0.4">
      <c r="A34">
        <v>1032</v>
      </c>
      <c r="B34" s="4">
        <v>45448.887627314813</v>
      </c>
      <c r="C34" t="s">
        <v>44</v>
      </c>
      <c r="D34" t="s">
        <v>14</v>
      </c>
      <c r="E34">
        <v>1</v>
      </c>
      <c r="F34" s="5">
        <v>3.49</v>
      </c>
      <c r="G34" s="5">
        <v>3.49</v>
      </c>
    </row>
    <row r="35" spans="1:7" x14ac:dyDescent="0.4">
      <c r="A35">
        <v>1032</v>
      </c>
      <c r="B35" s="4">
        <v>45448.887627314813</v>
      </c>
      <c r="C35" t="s">
        <v>44</v>
      </c>
      <c r="D35" t="s">
        <v>20</v>
      </c>
      <c r="E35">
        <v>1</v>
      </c>
      <c r="F35" s="5">
        <v>4.95</v>
      </c>
      <c r="G35" s="5">
        <v>4.95</v>
      </c>
    </row>
    <row r="36" spans="1:7" x14ac:dyDescent="0.4">
      <c r="A36">
        <v>1032</v>
      </c>
      <c r="B36" s="4">
        <v>45448.887627314813</v>
      </c>
      <c r="C36" t="s">
        <v>44</v>
      </c>
      <c r="D36" t="s">
        <v>20</v>
      </c>
      <c r="E36">
        <v>1</v>
      </c>
      <c r="F36" s="5">
        <v>4.95</v>
      </c>
      <c r="G36" s="5">
        <v>4.95</v>
      </c>
    </row>
    <row r="37" spans="1:7" x14ac:dyDescent="0.4">
      <c r="A37">
        <v>1032</v>
      </c>
      <c r="B37" s="4">
        <v>45448.887627314813</v>
      </c>
      <c r="C37" t="s">
        <v>44</v>
      </c>
      <c r="D37" t="s">
        <v>20</v>
      </c>
      <c r="E37">
        <v>1</v>
      </c>
      <c r="F37" s="5">
        <v>4.95</v>
      </c>
      <c r="G37" s="5">
        <v>4.95</v>
      </c>
    </row>
    <row r="38" spans="1:7" x14ac:dyDescent="0.4">
      <c r="A38">
        <v>1032</v>
      </c>
      <c r="B38" s="4">
        <v>45448.887627314813</v>
      </c>
      <c r="C38" t="s">
        <v>44</v>
      </c>
      <c r="D38" t="s">
        <v>8</v>
      </c>
      <c r="E38">
        <v>1</v>
      </c>
      <c r="F38" s="5">
        <v>0.99</v>
      </c>
      <c r="G38" s="5">
        <v>0.99</v>
      </c>
    </row>
    <row r="39" spans="1:7" x14ac:dyDescent="0.4">
      <c r="A39">
        <v>1032</v>
      </c>
      <c r="B39" s="4">
        <v>45448.887627314813</v>
      </c>
      <c r="C39" t="s">
        <v>44</v>
      </c>
      <c r="D39" t="s">
        <v>14</v>
      </c>
      <c r="E39">
        <v>1</v>
      </c>
      <c r="F39" s="5">
        <v>3.49</v>
      </c>
      <c r="G39" s="5">
        <v>3.49</v>
      </c>
    </row>
    <row r="40" spans="1:7" x14ac:dyDescent="0.4">
      <c r="A40">
        <v>1033</v>
      </c>
      <c r="B40" s="4">
        <v>45448.906782407408</v>
      </c>
      <c r="C40" t="s">
        <v>44</v>
      </c>
      <c r="F40" s="5"/>
      <c r="G40" s="5"/>
    </row>
    <row r="41" spans="1:7" x14ac:dyDescent="0.4">
      <c r="A41">
        <v>1033</v>
      </c>
      <c r="B41" s="4">
        <v>45448.906782407408</v>
      </c>
      <c r="C41" t="s">
        <v>44</v>
      </c>
      <c r="F41" s="5"/>
      <c r="G41" s="5"/>
    </row>
    <row r="42" spans="1:7" x14ac:dyDescent="0.4">
      <c r="A42">
        <v>1033</v>
      </c>
      <c r="B42" s="4">
        <v>45448.906782407408</v>
      </c>
      <c r="C42" t="s">
        <v>44</v>
      </c>
      <c r="D42">
        <v>1111</v>
      </c>
    </row>
    <row r="43" spans="1:7" x14ac:dyDescent="0.4">
      <c r="A43">
        <v>1033</v>
      </c>
      <c r="B43" s="4">
        <v>45448.906782407408</v>
      </c>
      <c r="C43" t="s">
        <v>44</v>
      </c>
      <c r="D43" t="s">
        <v>6</v>
      </c>
      <c r="E43">
        <v>1</v>
      </c>
      <c r="F43" s="5">
        <v>2.99</v>
      </c>
      <c r="G43" s="5">
        <v>2.99</v>
      </c>
    </row>
    <row r="44" spans="1:7" x14ac:dyDescent="0.4">
      <c r="A44">
        <v>1033</v>
      </c>
      <c r="B44" s="4">
        <v>45448.906782407408</v>
      </c>
      <c r="C44" t="s">
        <v>44</v>
      </c>
      <c r="D44" t="s">
        <v>22</v>
      </c>
      <c r="E44">
        <v>1</v>
      </c>
      <c r="F44" s="5">
        <v>4.95</v>
      </c>
      <c r="G44" s="5">
        <v>4.95</v>
      </c>
    </row>
    <row r="45" spans="1:7" x14ac:dyDescent="0.4">
      <c r="B45" s="4"/>
      <c r="F45" s="5"/>
      <c r="G45" s="5"/>
    </row>
    <row r="46" spans="1:7" x14ac:dyDescent="0.4">
      <c r="B46" s="4"/>
      <c r="F46" s="5"/>
      <c r="G46" s="5"/>
    </row>
    <row r="47" spans="1:7" x14ac:dyDescent="0.4">
      <c r="B47" s="4"/>
      <c r="F47" s="5"/>
      <c r="G47" s="5"/>
    </row>
    <row r="48" spans="1:7" x14ac:dyDescent="0.4">
      <c r="B48" s="4"/>
      <c r="F48" s="5"/>
      <c r="G48" s="5"/>
    </row>
    <row r="49" spans="2:7" x14ac:dyDescent="0.4">
      <c r="B49" s="4"/>
      <c r="F49" s="5"/>
      <c r="G49" s="5"/>
    </row>
    <row r="50" spans="2:7" x14ac:dyDescent="0.4">
      <c r="B50" s="4"/>
    </row>
    <row r="51" spans="2:7" x14ac:dyDescent="0.4">
      <c r="B51" s="4"/>
    </row>
    <row r="52" spans="2:7" x14ac:dyDescent="0.4">
      <c r="B52" s="4"/>
    </row>
    <row r="53" spans="2:7" x14ac:dyDescent="0.4">
      <c r="B53" s="4"/>
    </row>
    <row r="54" spans="2:7" x14ac:dyDescent="0.4">
      <c r="B54" s="4"/>
    </row>
    <row r="55" spans="2:7" x14ac:dyDescent="0.4">
      <c r="B55" s="4"/>
    </row>
    <row r="56" spans="2:7" x14ac:dyDescent="0.4">
      <c r="B56" s="4"/>
    </row>
    <row r="57" spans="2:7" x14ac:dyDescent="0.4">
      <c r="B57" s="4"/>
    </row>
    <row r="58" spans="2:7" x14ac:dyDescent="0.4">
      <c r="B58" s="4"/>
    </row>
    <row r="59" spans="2:7" x14ac:dyDescent="0.4">
      <c r="B59" s="4"/>
    </row>
    <row r="60" spans="2:7" x14ac:dyDescent="0.4">
      <c r="B60" s="4"/>
    </row>
    <row r="61" spans="2:7" x14ac:dyDescent="0.4">
      <c r="B61" s="4"/>
    </row>
    <row r="62" spans="2:7" x14ac:dyDescent="0.4">
      <c r="B62" s="4"/>
    </row>
    <row r="63" spans="2:7" x14ac:dyDescent="0.4">
      <c r="B63" s="4"/>
    </row>
    <row r="64" spans="2:7" x14ac:dyDescent="0.4">
      <c r="B64" s="4"/>
    </row>
    <row r="65" spans="2:7" x14ac:dyDescent="0.4">
      <c r="B65" s="4"/>
    </row>
    <row r="66" spans="2:7" x14ac:dyDescent="0.4">
      <c r="B66" s="4"/>
    </row>
    <row r="67" spans="2:7" x14ac:dyDescent="0.4">
      <c r="B67" s="4"/>
    </row>
    <row r="68" spans="2:7" x14ac:dyDescent="0.4">
      <c r="B68" s="4"/>
    </row>
    <row r="69" spans="2:7" x14ac:dyDescent="0.4">
      <c r="B69" s="4"/>
      <c r="F69" s="5"/>
      <c r="G69" s="5"/>
    </row>
    <row r="70" spans="2:7" x14ac:dyDescent="0.4">
      <c r="B70" s="4"/>
      <c r="F70" s="5"/>
      <c r="G70" s="5"/>
    </row>
    <row r="71" spans="2:7" x14ac:dyDescent="0.4">
      <c r="B71" s="4"/>
      <c r="F71" s="5"/>
      <c r="G71" s="5"/>
    </row>
    <row r="72" spans="2:7" x14ac:dyDescent="0.4">
      <c r="B72" s="4"/>
      <c r="F72" s="5"/>
      <c r="G72" s="5"/>
    </row>
    <row r="73" spans="2:7" x14ac:dyDescent="0.4">
      <c r="B73" s="4"/>
      <c r="F73" s="5"/>
      <c r="G73" s="5"/>
    </row>
    <row r="74" spans="2:7" x14ac:dyDescent="0.4">
      <c r="B74" s="4"/>
      <c r="F74" s="5"/>
      <c r="G74" s="5"/>
    </row>
    <row r="75" spans="2:7" x14ac:dyDescent="0.4">
      <c r="B75" s="4"/>
      <c r="F75" s="5"/>
      <c r="G75" s="5"/>
    </row>
    <row r="76" spans="2:7" x14ac:dyDescent="0.4">
      <c r="B76" s="4"/>
      <c r="F76" s="5"/>
      <c r="G76" s="5"/>
    </row>
    <row r="77" spans="2:7" x14ac:dyDescent="0.4">
      <c r="B77" s="4"/>
      <c r="F77" s="5"/>
      <c r="G77" s="5"/>
    </row>
    <row r="78" spans="2:7" x14ac:dyDescent="0.4">
      <c r="B78" s="4"/>
      <c r="F78" s="5"/>
      <c r="G78" s="5"/>
    </row>
    <row r="79" spans="2:7" x14ac:dyDescent="0.4">
      <c r="B79" s="4"/>
      <c r="F79" s="5"/>
      <c r="G79" s="5"/>
    </row>
    <row r="80" spans="2:7" x14ac:dyDescent="0.4">
      <c r="B80" s="4"/>
      <c r="F80" s="5"/>
      <c r="G80" s="5"/>
    </row>
    <row r="81" spans="2:7" x14ac:dyDescent="0.4">
      <c r="B81" s="4"/>
      <c r="F81" s="5"/>
      <c r="G81" s="5"/>
    </row>
    <row r="82" spans="2:7" x14ac:dyDescent="0.4">
      <c r="B82" s="4"/>
      <c r="F82" s="5"/>
      <c r="G82" s="5"/>
    </row>
    <row r="83" spans="2:7" x14ac:dyDescent="0.4">
      <c r="B83" s="4"/>
      <c r="F83" s="5"/>
      <c r="G83" s="5"/>
    </row>
    <row r="84" spans="2:7" x14ac:dyDescent="0.4">
      <c r="B84" s="4"/>
      <c r="F84" s="5"/>
      <c r="G84" s="5"/>
    </row>
    <row r="85" spans="2:7" x14ac:dyDescent="0.4">
      <c r="B85" s="4"/>
      <c r="F85" s="5"/>
      <c r="G85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2024-06-06T02:14:36Z</cp:lastPrinted>
  <dcterms:created xsi:type="dcterms:W3CDTF">2020-02-21T23:03:52Z</dcterms:created>
  <dcterms:modified xsi:type="dcterms:W3CDTF">2024-06-06T07:04:41Z</dcterms:modified>
</cp:coreProperties>
</file>